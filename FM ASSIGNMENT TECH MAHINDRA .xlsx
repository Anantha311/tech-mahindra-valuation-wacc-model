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antha\OneDrive\Desktop\Anantha\BITS GOA\Academics\3 - 1\FinMan\"/>
    </mc:Choice>
  </mc:AlternateContent>
  <xr:revisionPtr revIDLastSave="0" documentId="13_ncr:1_{864551B7-B714-40DF-BEBE-EB5D38157C6A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Index" sheetId="1" r:id="rId1"/>
    <sheet name="Financial Statements" sheetId="2" state="hidden" r:id="rId2"/>
    <sheet name="Cost of Equity" sheetId="3" r:id="rId3"/>
    <sheet name="Cost of Debt" sheetId="4" r:id="rId4"/>
    <sheet name="PART A" sheetId="5" r:id="rId5"/>
    <sheet name="Part B" sheetId="6" r:id="rId6"/>
    <sheet name="Part 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7" l="1"/>
  <c r="L25" i="7"/>
  <c r="L23" i="7"/>
  <c r="L13" i="7"/>
  <c r="N13" i="7" s="1"/>
  <c r="L8" i="7"/>
  <c r="N8" i="7" s="1"/>
  <c r="B8" i="7"/>
  <c r="L28" i="7" s="1"/>
  <c r="B7" i="7"/>
  <c r="S6" i="7"/>
  <c r="B6" i="7"/>
  <c r="B5" i="7"/>
  <c r="B4" i="7"/>
  <c r="M28" i="7" s="1"/>
  <c r="K26" i="6"/>
  <c r="K29" i="6" s="1"/>
  <c r="K20" i="6"/>
  <c r="L14" i="6"/>
  <c r="N12" i="6"/>
  <c r="N8" i="5"/>
  <c r="N7" i="5"/>
  <c r="N9" i="5" s="1"/>
  <c r="L7" i="5"/>
  <c r="K7" i="5"/>
  <c r="N6" i="5"/>
  <c r="M6" i="5"/>
  <c r="M7" i="5" s="1"/>
  <c r="M9" i="5" s="1"/>
  <c r="L6" i="5"/>
  <c r="K6" i="5"/>
  <c r="J6" i="5"/>
  <c r="J7" i="5" s="1"/>
  <c r="D16" i="4"/>
  <c r="K11" i="5" s="1"/>
  <c r="G15" i="4"/>
  <c r="F15" i="4"/>
  <c r="F16" i="4" s="1"/>
  <c r="M11" i="5" s="1"/>
  <c r="E15" i="4"/>
  <c r="D15" i="4"/>
  <c r="C15" i="4"/>
  <c r="B9" i="7" s="1"/>
  <c r="F12" i="4"/>
  <c r="D12" i="4"/>
  <c r="G11" i="4"/>
  <c r="G12" i="4" s="1"/>
  <c r="G16" i="4" s="1"/>
  <c r="N11" i="5" s="1"/>
  <c r="F11" i="4"/>
  <c r="M8" i="5" s="1"/>
  <c r="E11" i="4"/>
  <c r="E12" i="4" s="1"/>
  <c r="E16" i="4" s="1"/>
  <c r="L11" i="5" s="1"/>
  <c r="D11" i="4"/>
  <c r="K8" i="5" s="1"/>
  <c r="K9" i="5" s="1"/>
  <c r="C11" i="4"/>
  <c r="C12" i="4" s="1"/>
  <c r="C16" i="4" s="1"/>
  <c r="J11" i="5" s="1"/>
  <c r="AG293" i="3"/>
  <c r="AF293" i="3"/>
  <c r="AG292" i="3"/>
  <c r="AF292" i="3"/>
  <c r="U292" i="3"/>
  <c r="T292" i="3"/>
  <c r="AG291" i="3"/>
  <c r="AF291" i="3"/>
  <c r="AA291" i="3"/>
  <c r="Z291" i="3"/>
  <c r="U291" i="3"/>
  <c r="T291" i="3"/>
  <c r="AG290" i="3"/>
  <c r="AF290" i="3"/>
  <c r="AA290" i="3"/>
  <c r="Z290" i="3"/>
  <c r="U290" i="3"/>
  <c r="T290" i="3"/>
  <c r="AS289" i="3"/>
  <c r="AR289" i="3"/>
  <c r="AG289" i="3"/>
  <c r="AF289" i="3"/>
  <c r="AA289" i="3"/>
  <c r="Z289" i="3"/>
  <c r="U289" i="3"/>
  <c r="T289" i="3"/>
  <c r="AS288" i="3"/>
  <c r="AR288" i="3"/>
  <c r="AG288" i="3"/>
  <c r="AF288" i="3"/>
  <c r="AA288" i="3"/>
  <c r="Z288" i="3"/>
  <c r="U288" i="3"/>
  <c r="T288" i="3"/>
  <c r="AS287" i="3"/>
  <c r="AR287" i="3"/>
  <c r="AM287" i="3"/>
  <c r="AL287" i="3"/>
  <c r="AG287" i="3"/>
  <c r="AF287" i="3"/>
  <c r="AA287" i="3"/>
  <c r="Z287" i="3"/>
  <c r="U287" i="3"/>
  <c r="T287" i="3"/>
  <c r="AS286" i="3"/>
  <c r="AR286" i="3"/>
  <c r="AM286" i="3"/>
  <c r="AL286" i="3"/>
  <c r="AG286" i="3"/>
  <c r="AF286" i="3"/>
  <c r="AA286" i="3"/>
  <c r="Z286" i="3"/>
  <c r="U286" i="3"/>
  <c r="T286" i="3"/>
  <c r="AS285" i="3"/>
  <c r="AR285" i="3"/>
  <c r="AM285" i="3"/>
  <c r="AL285" i="3"/>
  <c r="AG285" i="3"/>
  <c r="AF285" i="3"/>
  <c r="AA285" i="3"/>
  <c r="Z285" i="3"/>
  <c r="U285" i="3"/>
  <c r="T285" i="3"/>
  <c r="AS284" i="3"/>
  <c r="AR284" i="3"/>
  <c r="AM284" i="3"/>
  <c r="AL284" i="3"/>
  <c r="AG284" i="3"/>
  <c r="AF284" i="3"/>
  <c r="AA284" i="3"/>
  <c r="Z284" i="3"/>
  <c r="U284" i="3"/>
  <c r="T284" i="3"/>
  <c r="AS283" i="3"/>
  <c r="AR283" i="3"/>
  <c r="AM283" i="3"/>
  <c r="AL283" i="3"/>
  <c r="AG283" i="3"/>
  <c r="AF283" i="3"/>
  <c r="AA283" i="3"/>
  <c r="Z283" i="3"/>
  <c r="U283" i="3"/>
  <c r="T283" i="3"/>
  <c r="AS282" i="3"/>
  <c r="AR282" i="3"/>
  <c r="AM282" i="3"/>
  <c r="AL282" i="3"/>
  <c r="AG282" i="3"/>
  <c r="AF282" i="3"/>
  <c r="AA282" i="3"/>
  <c r="Z282" i="3"/>
  <c r="U282" i="3"/>
  <c r="T282" i="3"/>
  <c r="AS281" i="3"/>
  <c r="AR281" i="3"/>
  <c r="AM281" i="3"/>
  <c r="AL281" i="3"/>
  <c r="AG281" i="3"/>
  <c r="AF281" i="3"/>
  <c r="AA281" i="3"/>
  <c r="Z281" i="3"/>
  <c r="U281" i="3"/>
  <c r="T281" i="3"/>
  <c r="AS280" i="3"/>
  <c r="AR280" i="3"/>
  <c r="AM280" i="3"/>
  <c r="AL280" i="3"/>
  <c r="AG280" i="3"/>
  <c r="AF280" i="3"/>
  <c r="AA280" i="3"/>
  <c r="Z280" i="3"/>
  <c r="U280" i="3"/>
  <c r="T280" i="3"/>
  <c r="AS279" i="3"/>
  <c r="AR279" i="3"/>
  <c r="AM279" i="3"/>
  <c r="AL279" i="3"/>
  <c r="AG279" i="3"/>
  <c r="AF279" i="3"/>
  <c r="AA279" i="3"/>
  <c r="Z279" i="3"/>
  <c r="U279" i="3"/>
  <c r="T279" i="3"/>
  <c r="AS278" i="3"/>
  <c r="AR278" i="3"/>
  <c r="AM278" i="3"/>
  <c r="AL278" i="3"/>
  <c r="AG278" i="3"/>
  <c r="AF278" i="3"/>
  <c r="AA278" i="3"/>
  <c r="Z278" i="3"/>
  <c r="U278" i="3"/>
  <c r="T278" i="3"/>
  <c r="AS277" i="3"/>
  <c r="AR277" i="3"/>
  <c r="AM277" i="3"/>
  <c r="AL277" i="3"/>
  <c r="AG277" i="3"/>
  <c r="AF277" i="3"/>
  <c r="AA277" i="3"/>
  <c r="Z277" i="3"/>
  <c r="U277" i="3"/>
  <c r="T277" i="3"/>
  <c r="AS276" i="3"/>
  <c r="AR276" i="3"/>
  <c r="AM276" i="3"/>
  <c r="AL276" i="3"/>
  <c r="AG276" i="3"/>
  <c r="AF276" i="3"/>
  <c r="AA276" i="3"/>
  <c r="Z276" i="3"/>
  <c r="U276" i="3"/>
  <c r="T276" i="3"/>
  <c r="AS275" i="3"/>
  <c r="AR275" i="3"/>
  <c r="AM275" i="3"/>
  <c r="AL275" i="3"/>
  <c r="AG275" i="3"/>
  <c r="AF275" i="3"/>
  <c r="AA275" i="3"/>
  <c r="Z275" i="3"/>
  <c r="U275" i="3"/>
  <c r="T275" i="3"/>
  <c r="AS274" i="3"/>
  <c r="AR274" i="3"/>
  <c r="AM274" i="3"/>
  <c r="AL274" i="3"/>
  <c r="AG274" i="3"/>
  <c r="AF274" i="3"/>
  <c r="AA274" i="3"/>
  <c r="Z274" i="3"/>
  <c r="U274" i="3"/>
  <c r="T274" i="3"/>
  <c r="AS273" i="3"/>
  <c r="AR273" i="3"/>
  <c r="AM273" i="3"/>
  <c r="AL273" i="3"/>
  <c r="AG273" i="3"/>
  <c r="AF273" i="3"/>
  <c r="AA273" i="3"/>
  <c r="Z273" i="3"/>
  <c r="U273" i="3"/>
  <c r="T273" i="3"/>
  <c r="AS272" i="3"/>
  <c r="AR272" i="3"/>
  <c r="AM272" i="3"/>
  <c r="AL272" i="3"/>
  <c r="AG272" i="3"/>
  <c r="AF272" i="3"/>
  <c r="AA272" i="3"/>
  <c r="Z272" i="3"/>
  <c r="U272" i="3"/>
  <c r="T272" i="3"/>
  <c r="AS271" i="3"/>
  <c r="AR271" i="3"/>
  <c r="AM271" i="3"/>
  <c r="AL271" i="3"/>
  <c r="AG271" i="3"/>
  <c r="AF271" i="3"/>
  <c r="AA271" i="3"/>
  <c r="Z271" i="3"/>
  <c r="U271" i="3"/>
  <c r="T271" i="3"/>
  <c r="AS270" i="3"/>
  <c r="AR270" i="3"/>
  <c r="AM270" i="3"/>
  <c r="AL270" i="3"/>
  <c r="AG270" i="3"/>
  <c r="AF270" i="3"/>
  <c r="AA270" i="3"/>
  <c r="Z270" i="3"/>
  <c r="U270" i="3"/>
  <c r="T270" i="3"/>
  <c r="AS269" i="3"/>
  <c r="AR269" i="3"/>
  <c r="AM269" i="3"/>
  <c r="AL269" i="3"/>
  <c r="AG269" i="3"/>
  <c r="AF269" i="3"/>
  <c r="AA269" i="3"/>
  <c r="Z269" i="3"/>
  <c r="U269" i="3"/>
  <c r="T269" i="3"/>
  <c r="AS268" i="3"/>
  <c r="AR268" i="3"/>
  <c r="AM268" i="3"/>
  <c r="AL268" i="3"/>
  <c r="AG268" i="3"/>
  <c r="AF268" i="3"/>
  <c r="AA268" i="3"/>
  <c r="Z268" i="3"/>
  <c r="U268" i="3"/>
  <c r="T268" i="3"/>
  <c r="AS267" i="3"/>
  <c r="AR267" i="3"/>
  <c r="AM267" i="3"/>
  <c r="AL267" i="3"/>
  <c r="AG267" i="3"/>
  <c r="AF267" i="3"/>
  <c r="AA267" i="3"/>
  <c r="Z267" i="3"/>
  <c r="U267" i="3"/>
  <c r="T267" i="3"/>
  <c r="AS266" i="3"/>
  <c r="AR266" i="3"/>
  <c r="AM266" i="3"/>
  <c r="AL266" i="3"/>
  <c r="AG266" i="3"/>
  <c r="AF266" i="3"/>
  <c r="AA266" i="3"/>
  <c r="Z266" i="3"/>
  <c r="U266" i="3"/>
  <c r="T266" i="3"/>
  <c r="AS265" i="3"/>
  <c r="AR265" i="3"/>
  <c r="AM265" i="3"/>
  <c r="AL265" i="3"/>
  <c r="AG265" i="3"/>
  <c r="AF265" i="3"/>
  <c r="AA265" i="3"/>
  <c r="Z265" i="3"/>
  <c r="U265" i="3"/>
  <c r="T265" i="3"/>
  <c r="AS264" i="3"/>
  <c r="AR264" i="3"/>
  <c r="AM264" i="3"/>
  <c r="AL264" i="3"/>
  <c r="AG264" i="3"/>
  <c r="AF264" i="3"/>
  <c r="AA264" i="3"/>
  <c r="Z264" i="3"/>
  <c r="U264" i="3"/>
  <c r="T264" i="3"/>
  <c r="AS263" i="3"/>
  <c r="AR263" i="3"/>
  <c r="AM263" i="3"/>
  <c r="AL263" i="3"/>
  <c r="AG263" i="3"/>
  <c r="AF263" i="3"/>
  <c r="AA263" i="3"/>
  <c r="Z263" i="3"/>
  <c r="U263" i="3"/>
  <c r="T263" i="3"/>
  <c r="AS262" i="3"/>
  <c r="AR262" i="3"/>
  <c r="AM262" i="3"/>
  <c r="AL262" i="3"/>
  <c r="AG262" i="3"/>
  <c r="AF262" i="3"/>
  <c r="AA262" i="3"/>
  <c r="Z262" i="3"/>
  <c r="U262" i="3"/>
  <c r="T262" i="3"/>
  <c r="AS261" i="3"/>
  <c r="AR261" i="3"/>
  <c r="AM261" i="3"/>
  <c r="AL261" i="3"/>
  <c r="AG261" i="3"/>
  <c r="AF261" i="3"/>
  <c r="AA261" i="3"/>
  <c r="Z261" i="3"/>
  <c r="U261" i="3"/>
  <c r="T261" i="3"/>
  <c r="AS260" i="3"/>
  <c r="AR260" i="3"/>
  <c r="AM260" i="3"/>
  <c r="AL260" i="3"/>
  <c r="AG260" i="3"/>
  <c r="AF260" i="3"/>
  <c r="AA260" i="3"/>
  <c r="Z260" i="3"/>
  <c r="U260" i="3"/>
  <c r="T260" i="3"/>
  <c r="AS259" i="3"/>
  <c r="AR259" i="3"/>
  <c r="AM259" i="3"/>
  <c r="AL259" i="3"/>
  <c r="AG259" i="3"/>
  <c r="AF259" i="3"/>
  <c r="AA259" i="3"/>
  <c r="Z259" i="3"/>
  <c r="U259" i="3"/>
  <c r="T259" i="3"/>
  <c r="AS258" i="3"/>
  <c r="AR258" i="3"/>
  <c r="AM258" i="3"/>
  <c r="AL258" i="3"/>
  <c r="AG258" i="3"/>
  <c r="AF258" i="3"/>
  <c r="AA258" i="3"/>
  <c r="Z258" i="3"/>
  <c r="U258" i="3"/>
  <c r="T258" i="3"/>
  <c r="AS257" i="3"/>
  <c r="AR257" i="3"/>
  <c r="AM257" i="3"/>
  <c r="AL257" i="3"/>
  <c r="AG257" i="3"/>
  <c r="AF257" i="3"/>
  <c r="AA257" i="3"/>
  <c r="Z257" i="3"/>
  <c r="U257" i="3"/>
  <c r="T257" i="3"/>
  <c r="AS256" i="3"/>
  <c r="AR256" i="3"/>
  <c r="AM256" i="3"/>
  <c r="AL256" i="3"/>
  <c r="AG256" i="3"/>
  <c r="AF256" i="3"/>
  <c r="AA256" i="3"/>
  <c r="Z256" i="3"/>
  <c r="U256" i="3"/>
  <c r="T256" i="3"/>
  <c r="AS255" i="3"/>
  <c r="AR255" i="3"/>
  <c r="AM255" i="3"/>
  <c r="AL255" i="3"/>
  <c r="AG255" i="3"/>
  <c r="AF255" i="3"/>
  <c r="AA255" i="3"/>
  <c r="Z255" i="3"/>
  <c r="U255" i="3"/>
  <c r="T255" i="3"/>
  <c r="AS254" i="3"/>
  <c r="AR254" i="3"/>
  <c r="AM254" i="3"/>
  <c r="AL254" i="3"/>
  <c r="AG254" i="3"/>
  <c r="AF254" i="3"/>
  <c r="AA254" i="3"/>
  <c r="Z254" i="3"/>
  <c r="U254" i="3"/>
  <c r="T254" i="3"/>
  <c r="AS253" i="3"/>
  <c r="AR253" i="3"/>
  <c r="AM253" i="3"/>
  <c r="AL253" i="3"/>
  <c r="AG253" i="3"/>
  <c r="AF253" i="3"/>
  <c r="AA253" i="3"/>
  <c r="Z253" i="3"/>
  <c r="U253" i="3"/>
  <c r="T253" i="3"/>
  <c r="AS252" i="3"/>
  <c r="AR252" i="3"/>
  <c r="AM252" i="3"/>
  <c r="AL252" i="3"/>
  <c r="AG252" i="3"/>
  <c r="AF252" i="3"/>
  <c r="AA252" i="3"/>
  <c r="Z252" i="3"/>
  <c r="U252" i="3"/>
  <c r="T252" i="3"/>
  <c r="AS251" i="3"/>
  <c r="AR251" i="3"/>
  <c r="AM251" i="3"/>
  <c r="AL251" i="3"/>
  <c r="AG251" i="3"/>
  <c r="AF251" i="3"/>
  <c r="AA251" i="3"/>
  <c r="Z251" i="3"/>
  <c r="U251" i="3"/>
  <c r="T251" i="3"/>
  <c r="AS250" i="3"/>
  <c r="AR250" i="3"/>
  <c r="AM250" i="3"/>
  <c r="AL250" i="3"/>
  <c r="AG250" i="3"/>
  <c r="AF250" i="3"/>
  <c r="AA250" i="3"/>
  <c r="Z250" i="3"/>
  <c r="U250" i="3"/>
  <c r="T250" i="3"/>
  <c r="AS249" i="3"/>
  <c r="AR249" i="3"/>
  <c r="AM249" i="3"/>
  <c r="AL249" i="3"/>
  <c r="AG249" i="3"/>
  <c r="AF249" i="3"/>
  <c r="AA249" i="3"/>
  <c r="Z249" i="3"/>
  <c r="U249" i="3"/>
  <c r="T249" i="3"/>
  <c r="AS248" i="3"/>
  <c r="AR248" i="3"/>
  <c r="AM248" i="3"/>
  <c r="AL248" i="3"/>
  <c r="AG248" i="3"/>
  <c r="AF248" i="3"/>
  <c r="AA248" i="3"/>
  <c r="Z248" i="3"/>
  <c r="U248" i="3"/>
  <c r="T248" i="3"/>
  <c r="AS247" i="3"/>
  <c r="AR247" i="3"/>
  <c r="AM247" i="3"/>
  <c r="AL247" i="3"/>
  <c r="AG247" i="3"/>
  <c r="AF247" i="3"/>
  <c r="AA247" i="3"/>
  <c r="Z247" i="3"/>
  <c r="U247" i="3"/>
  <c r="T247" i="3"/>
  <c r="AS246" i="3"/>
  <c r="AR246" i="3"/>
  <c r="AM246" i="3"/>
  <c r="AL246" i="3"/>
  <c r="AG246" i="3"/>
  <c r="AF246" i="3"/>
  <c r="AA246" i="3"/>
  <c r="Z246" i="3"/>
  <c r="U246" i="3"/>
  <c r="T246" i="3"/>
  <c r="AS245" i="3"/>
  <c r="AR245" i="3"/>
  <c r="AM245" i="3"/>
  <c r="AL245" i="3"/>
  <c r="AG245" i="3"/>
  <c r="AF245" i="3"/>
  <c r="AA245" i="3"/>
  <c r="Z245" i="3"/>
  <c r="U245" i="3"/>
  <c r="T245" i="3"/>
  <c r="AS244" i="3"/>
  <c r="AR244" i="3"/>
  <c r="AM244" i="3"/>
  <c r="AL244" i="3"/>
  <c r="AG244" i="3"/>
  <c r="AF244" i="3"/>
  <c r="AA244" i="3"/>
  <c r="Z244" i="3"/>
  <c r="U244" i="3"/>
  <c r="T244" i="3"/>
  <c r="AS243" i="3"/>
  <c r="AR243" i="3"/>
  <c r="AM243" i="3"/>
  <c r="AL243" i="3"/>
  <c r="AG243" i="3"/>
  <c r="AF243" i="3"/>
  <c r="AA243" i="3"/>
  <c r="Z243" i="3"/>
  <c r="U243" i="3"/>
  <c r="T243" i="3"/>
  <c r="AS242" i="3"/>
  <c r="AR242" i="3"/>
  <c r="AM242" i="3"/>
  <c r="AL242" i="3"/>
  <c r="AG242" i="3"/>
  <c r="AF242" i="3"/>
  <c r="AA242" i="3"/>
  <c r="Z242" i="3"/>
  <c r="U242" i="3"/>
  <c r="T242" i="3"/>
  <c r="AS241" i="3"/>
  <c r="AR241" i="3"/>
  <c r="AM241" i="3"/>
  <c r="AL241" i="3"/>
  <c r="AG241" i="3"/>
  <c r="AF241" i="3"/>
  <c r="AA241" i="3"/>
  <c r="Z241" i="3"/>
  <c r="U241" i="3"/>
  <c r="T241" i="3"/>
  <c r="AS240" i="3"/>
  <c r="AR240" i="3"/>
  <c r="AM240" i="3"/>
  <c r="AL240" i="3"/>
  <c r="AG240" i="3"/>
  <c r="AF240" i="3"/>
  <c r="AA240" i="3"/>
  <c r="Z240" i="3"/>
  <c r="U240" i="3"/>
  <c r="T240" i="3"/>
  <c r="AS239" i="3"/>
  <c r="AR239" i="3"/>
  <c r="AM239" i="3"/>
  <c r="AL239" i="3"/>
  <c r="AG239" i="3"/>
  <c r="AF239" i="3"/>
  <c r="AA239" i="3"/>
  <c r="Z239" i="3"/>
  <c r="U239" i="3"/>
  <c r="T239" i="3"/>
  <c r="AS238" i="3"/>
  <c r="AR238" i="3"/>
  <c r="AM238" i="3"/>
  <c r="AL238" i="3"/>
  <c r="AG238" i="3"/>
  <c r="AF238" i="3"/>
  <c r="AA238" i="3"/>
  <c r="Z238" i="3"/>
  <c r="U238" i="3"/>
  <c r="T238" i="3"/>
  <c r="AS237" i="3"/>
  <c r="AR237" i="3"/>
  <c r="AM237" i="3"/>
  <c r="AL237" i="3"/>
  <c r="AG237" i="3"/>
  <c r="AF237" i="3"/>
  <c r="AA237" i="3"/>
  <c r="Z237" i="3"/>
  <c r="U237" i="3"/>
  <c r="T237" i="3"/>
  <c r="AS236" i="3"/>
  <c r="AR236" i="3"/>
  <c r="AM236" i="3"/>
  <c r="AL236" i="3"/>
  <c r="AG236" i="3"/>
  <c r="AF236" i="3"/>
  <c r="AA236" i="3"/>
  <c r="Z236" i="3"/>
  <c r="U236" i="3"/>
  <c r="T236" i="3"/>
  <c r="AS235" i="3"/>
  <c r="AR235" i="3"/>
  <c r="AM235" i="3"/>
  <c r="AL235" i="3"/>
  <c r="AG235" i="3"/>
  <c r="AF235" i="3"/>
  <c r="AA235" i="3"/>
  <c r="Z235" i="3"/>
  <c r="U235" i="3"/>
  <c r="T235" i="3"/>
  <c r="AS234" i="3"/>
  <c r="AR234" i="3"/>
  <c r="AM234" i="3"/>
  <c r="AL234" i="3"/>
  <c r="AG234" i="3"/>
  <c r="AF234" i="3"/>
  <c r="AA234" i="3"/>
  <c r="Z234" i="3"/>
  <c r="U234" i="3"/>
  <c r="T234" i="3"/>
  <c r="AS233" i="3"/>
  <c r="AR233" i="3"/>
  <c r="AM233" i="3"/>
  <c r="AL233" i="3"/>
  <c r="AG233" i="3"/>
  <c r="AF233" i="3"/>
  <c r="AA233" i="3"/>
  <c r="Z233" i="3"/>
  <c r="U233" i="3"/>
  <c r="T233" i="3"/>
  <c r="AS232" i="3"/>
  <c r="AR232" i="3"/>
  <c r="AM232" i="3"/>
  <c r="AL232" i="3"/>
  <c r="AG232" i="3"/>
  <c r="AF232" i="3"/>
  <c r="AA232" i="3"/>
  <c r="Z232" i="3"/>
  <c r="U232" i="3"/>
  <c r="T232" i="3"/>
  <c r="AS231" i="3"/>
  <c r="AR231" i="3"/>
  <c r="AM231" i="3"/>
  <c r="AL231" i="3"/>
  <c r="AG231" i="3"/>
  <c r="AF231" i="3"/>
  <c r="AA231" i="3"/>
  <c r="Z231" i="3"/>
  <c r="U231" i="3"/>
  <c r="T231" i="3"/>
  <c r="AS230" i="3"/>
  <c r="AR230" i="3"/>
  <c r="AM230" i="3"/>
  <c r="AL230" i="3"/>
  <c r="AG230" i="3"/>
  <c r="AF230" i="3"/>
  <c r="AA230" i="3"/>
  <c r="Z230" i="3"/>
  <c r="U230" i="3"/>
  <c r="T230" i="3"/>
  <c r="AS229" i="3"/>
  <c r="AR229" i="3"/>
  <c r="AM229" i="3"/>
  <c r="AL229" i="3"/>
  <c r="AG229" i="3"/>
  <c r="AF229" i="3"/>
  <c r="AA229" i="3"/>
  <c r="Z229" i="3"/>
  <c r="U229" i="3"/>
  <c r="T229" i="3"/>
  <c r="AS228" i="3"/>
  <c r="AR228" i="3"/>
  <c r="AM228" i="3"/>
  <c r="AL228" i="3"/>
  <c r="AG228" i="3"/>
  <c r="AF228" i="3"/>
  <c r="AA228" i="3"/>
  <c r="Z228" i="3"/>
  <c r="U228" i="3"/>
  <c r="T228" i="3"/>
  <c r="AS227" i="3"/>
  <c r="AR227" i="3"/>
  <c r="AM227" i="3"/>
  <c r="AL227" i="3"/>
  <c r="AG227" i="3"/>
  <c r="AF227" i="3"/>
  <c r="AA227" i="3"/>
  <c r="Z227" i="3"/>
  <c r="U227" i="3"/>
  <c r="T227" i="3"/>
  <c r="AS226" i="3"/>
  <c r="AR226" i="3"/>
  <c r="AM226" i="3"/>
  <c r="AL226" i="3"/>
  <c r="AG226" i="3"/>
  <c r="AF226" i="3"/>
  <c r="AA226" i="3"/>
  <c r="Z226" i="3"/>
  <c r="U226" i="3"/>
  <c r="T226" i="3"/>
  <c r="AS225" i="3"/>
  <c r="AR225" i="3"/>
  <c r="AM225" i="3"/>
  <c r="AL225" i="3"/>
  <c r="AG225" i="3"/>
  <c r="AF225" i="3"/>
  <c r="AA225" i="3"/>
  <c r="Z225" i="3"/>
  <c r="U225" i="3"/>
  <c r="T225" i="3"/>
  <c r="AS224" i="3"/>
  <c r="AR224" i="3"/>
  <c r="AM224" i="3"/>
  <c r="AL224" i="3"/>
  <c r="AG224" i="3"/>
  <c r="AF224" i="3"/>
  <c r="AA224" i="3"/>
  <c r="Z224" i="3"/>
  <c r="U224" i="3"/>
  <c r="T224" i="3"/>
  <c r="AS223" i="3"/>
  <c r="AR223" i="3"/>
  <c r="AM223" i="3"/>
  <c r="AL223" i="3"/>
  <c r="AG223" i="3"/>
  <c r="AF223" i="3"/>
  <c r="AA223" i="3"/>
  <c r="Z223" i="3"/>
  <c r="U223" i="3"/>
  <c r="T223" i="3"/>
  <c r="AS222" i="3"/>
  <c r="AR222" i="3"/>
  <c r="AM222" i="3"/>
  <c r="AL222" i="3"/>
  <c r="AG222" i="3"/>
  <c r="AF222" i="3"/>
  <c r="AA222" i="3"/>
  <c r="Z222" i="3"/>
  <c r="U222" i="3"/>
  <c r="T222" i="3"/>
  <c r="AS221" i="3"/>
  <c r="AR221" i="3"/>
  <c r="AM221" i="3"/>
  <c r="AL221" i="3"/>
  <c r="AG221" i="3"/>
  <c r="AF221" i="3"/>
  <c r="AA221" i="3"/>
  <c r="Z221" i="3"/>
  <c r="U221" i="3"/>
  <c r="T221" i="3"/>
  <c r="AS220" i="3"/>
  <c r="AR220" i="3"/>
  <c r="AM220" i="3"/>
  <c r="AL220" i="3"/>
  <c r="AG220" i="3"/>
  <c r="AF220" i="3"/>
  <c r="AA220" i="3"/>
  <c r="Z220" i="3"/>
  <c r="U220" i="3"/>
  <c r="T220" i="3"/>
  <c r="AS219" i="3"/>
  <c r="AR219" i="3"/>
  <c r="AM219" i="3"/>
  <c r="AL219" i="3"/>
  <c r="AG219" i="3"/>
  <c r="AF219" i="3"/>
  <c r="AA219" i="3"/>
  <c r="Z219" i="3"/>
  <c r="U219" i="3"/>
  <c r="T219" i="3"/>
  <c r="AS218" i="3"/>
  <c r="AR218" i="3"/>
  <c r="AM218" i="3"/>
  <c r="AL218" i="3"/>
  <c r="AG218" i="3"/>
  <c r="AF218" i="3"/>
  <c r="AA218" i="3"/>
  <c r="Z218" i="3"/>
  <c r="U218" i="3"/>
  <c r="T218" i="3"/>
  <c r="AS217" i="3"/>
  <c r="AR217" i="3"/>
  <c r="AM217" i="3"/>
  <c r="AL217" i="3"/>
  <c r="AG217" i="3"/>
  <c r="AF217" i="3"/>
  <c r="AA217" i="3"/>
  <c r="Z217" i="3"/>
  <c r="U217" i="3"/>
  <c r="T217" i="3"/>
  <c r="AS216" i="3"/>
  <c r="AR216" i="3"/>
  <c r="AM216" i="3"/>
  <c r="AL216" i="3"/>
  <c r="AG216" i="3"/>
  <c r="AF216" i="3"/>
  <c r="AA216" i="3"/>
  <c r="Z216" i="3"/>
  <c r="U216" i="3"/>
  <c r="T216" i="3"/>
  <c r="AS215" i="3"/>
  <c r="AR215" i="3"/>
  <c r="AM215" i="3"/>
  <c r="AL215" i="3"/>
  <c r="AG215" i="3"/>
  <c r="AF215" i="3"/>
  <c r="AA215" i="3"/>
  <c r="Z215" i="3"/>
  <c r="U215" i="3"/>
  <c r="T215" i="3"/>
  <c r="AS214" i="3"/>
  <c r="AR214" i="3"/>
  <c r="AM214" i="3"/>
  <c r="AL214" i="3"/>
  <c r="AG214" i="3"/>
  <c r="AF214" i="3"/>
  <c r="AA214" i="3"/>
  <c r="Z214" i="3"/>
  <c r="U214" i="3"/>
  <c r="T214" i="3"/>
  <c r="AS213" i="3"/>
  <c r="AR213" i="3"/>
  <c r="AM213" i="3"/>
  <c r="AL213" i="3"/>
  <c r="AG213" i="3"/>
  <c r="AF213" i="3"/>
  <c r="AA213" i="3"/>
  <c r="Z213" i="3"/>
  <c r="U213" i="3"/>
  <c r="T213" i="3"/>
  <c r="AS212" i="3"/>
  <c r="AR212" i="3"/>
  <c r="AM212" i="3"/>
  <c r="AL212" i="3"/>
  <c r="AG212" i="3"/>
  <c r="AF212" i="3"/>
  <c r="AA212" i="3"/>
  <c r="Z212" i="3"/>
  <c r="U212" i="3"/>
  <c r="T212" i="3"/>
  <c r="AS211" i="3"/>
  <c r="AR211" i="3"/>
  <c r="AM211" i="3"/>
  <c r="AL211" i="3"/>
  <c r="AG211" i="3"/>
  <c r="AF211" i="3"/>
  <c r="AA211" i="3"/>
  <c r="Z211" i="3"/>
  <c r="U211" i="3"/>
  <c r="T211" i="3"/>
  <c r="AS210" i="3"/>
  <c r="AR210" i="3"/>
  <c r="AM210" i="3"/>
  <c r="AL210" i="3"/>
  <c r="AG210" i="3"/>
  <c r="AF210" i="3"/>
  <c r="AA210" i="3"/>
  <c r="Z210" i="3"/>
  <c r="U210" i="3"/>
  <c r="T210" i="3"/>
  <c r="AS209" i="3"/>
  <c r="AR209" i="3"/>
  <c r="AM209" i="3"/>
  <c r="AL209" i="3"/>
  <c r="AG209" i="3"/>
  <c r="AF209" i="3"/>
  <c r="AA209" i="3"/>
  <c r="Z209" i="3"/>
  <c r="U209" i="3"/>
  <c r="T209" i="3"/>
  <c r="AS208" i="3"/>
  <c r="AR208" i="3"/>
  <c r="AM208" i="3"/>
  <c r="AL208" i="3"/>
  <c r="AG208" i="3"/>
  <c r="AF208" i="3"/>
  <c r="AA208" i="3"/>
  <c r="Z208" i="3"/>
  <c r="U208" i="3"/>
  <c r="T208" i="3"/>
  <c r="AS207" i="3"/>
  <c r="AR207" i="3"/>
  <c r="AM207" i="3"/>
  <c r="AL207" i="3"/>
  <c r="AG207" i="3"/>
  <c r="AF207" i="3"/>
  <c r="AA207" i="3"/>
  <c r="Z207" i="3"/>
  <c r="U207" i="3"/>
  <c r="T207" i="3"/>
  <c r="AS206" i="3"/>
  <c r="AR206" i="3"/>
  <c r="AM206" i="3"/>
  <c r="AL206" i="3"/>
  <c r="AG206" i="3"/>
  <c r="AF206" i="3"/>
  <c r="AA206" i="3"/>
  <c r="Z206" i="3"/>
  <c r="U206" i="3"/>
  <c r="T206" i="3"/>
  <c r="AS205" i="3"/>
  <c r="AR205" i="3"/>
  <c r="AM205" i="3"/>
  <c r="AL205" i="3"/>
  <c r="AG205" i="3"/>
  <c r="AF205" i="3"/>
  <c r="AA205" i="3"/>
  <c r="Z205" i="3"/>
  <c r="U205" i="3"/>
  <c r="T205" i="3"/>
  <c r="AS204" i="3"/>
  <c r="AR204" i="3"/>
  <c r="AM204" i="3"/>
  <c r="AL204" i="3"/>
  <c r="AG204" i="3"/>
  <c r="AF204" i="3"/>
  <c r="AA204" i="3"/>
  <c r="Z204" i="3"/>
  <c r="U204" i="3"/>
  <c r="T204" i="3"/>
  <c r="AS203" i="3"/>
  <c r="AR203" i="3"/>
  <c r="AM203" i="3"/>
  <c r="AL203" i="3"/>
  <c r="AG203" i="3"/>
  <c r="AF203" i="3"/>
  <c r="AA203" i="3"/>
  <c r="Z203" i="3"/>
  <c r="U203" i="3"/>
  <c r="T203" i="3"/>
  <c r="AS202" i="3"/>
  <c r="AR202" i="3"/>
  <c r="AM202" i="3"/>
  <c r="AL202" i="3"/>
  <c r="AG202" i="3"/>
  <c r="AF202" i="3"/>
  <c r="AA202" i="3"/>
  <c r="Z202" i="3"/>
  <c r="U202" i="3"/>
  <c r="T202" i="3"/>
  <c r="AS201" i="3"/>
  <c r="AR201" i="3"/>
  <c r="AM201" i="3"/>
  <c r="AL201" i="3"/>
  <c r="AG201" i="3"/>
  <c r="AF201" i="3"/>
  <c r="AA201" i="3"/>
  <c r="Z201" i="3"/>
  <c r="U201" i="3"/>
  <c r="T201" i="3"/>
  <c r="AS200" i="3"/>
  <c r="AR200" i="3"/>
  <c r="AM200" i="3"/>
  <c r="AL200" i="3"/>
  <c r="AG200" i="3"/>
  <c r="AF200" i="3"/>
  <c r="AA200" i="3"/>
  <c r="Z200" i="3"/>
  <c r="U200" i="3"/>
  <c r="T200" i="3"/>
  <c r="AS199" i="3"/>
  <c r="AR199" i="3"/>
  <c r="AM199" i="3"/>
  <c r="AL199" i="3"/>
  <c r="AG199" i="3"/>
  <c r="AF199" i="3"/>
  <c r="AA199" i="3"/>
  <c r="Z199" i="3"/>
  <c r="U199" i="3"/>
  <c r="T199" i="3"/>
  <c r="AS198" i="3"/>
  <c r="AR198" i="3"/>
  <c r="AM198" i="3"/>
  <c r="AL198" i="3"/>
  <c r="AG198" i="3"/>
  <c r="AF198" i="3"/>
  <c r="AA198" i="3"/>
  <c r="Z198" i="3"/>
  <c r="U198" i="3"/>
  <c r="T198" i="3"/>
  <c r="AS197" i="3"/>
  <c r="AR197" i="3"/>
  <c r="AM197" i="3"/>
  <c r="AL197" i="3"/>
  <c r="AG197" i="3"/>
  <c r="AF197" i="3"/>
  <c r="AA197" i="3"/>
  <c r="Z197" i="3"/>
  <c r="U197" i="3"/>
  <c r="T197" i="3"/>
  <c r="AS196" i="3"/>
  <c r="AR196" i="3"/>
  <c r="AM196" i="3"/>
  <c r="AL196" i="3"/>
  <c r="AG196" i="3"/>
  <c r="AF196" i="3"/>
  <c r="AA196" i="3"/>
  <c r="Z196" i="3"/>
  <c r="U196" i="3"/>
  <c r="T196" i="3"/>
  <c r="AS195" i="3"/>
  <c r="AR195" i="3"/>
  <c r="AM195" i="3"/>
  <c r="AL195" i="3"/>
  <c r="AG195" i="3"/>
  <c r="AF195" i="3"/>
  <c r="AA195" i="3"/>
  <c r="Z195" i="3"/>
  <c r="U195" i="3"/>
  <c r="T195" i="3"/>
  <c r="AS194" i="3"/>
  <c r="AR194" i="3"/>
  <c r="AM194" i="3"/>
  <c r="AL194" i="3"/>
  <c r="AG194" i="3"/>
  <c r="AF194" i="3"/>
  <c r="AA194" i="3"/>
  <c r="Z194" i="3"/>
  <c r="U194" i="3"/>
  <c r="T194" i="3"/>
  <c r="AS193" i="3"/>
  <c r="AR193" i="3"/>
  <c r="AM193" i="3"/>
  <c r="AL193" i="3"/>
  <c r="AG193" i="3"/>
  <c r="AF193" i="3"/>
  <c r="AA193" i="3"/>
  <c r="Z193" i="3"/>
  <c r="U193" i="3"/>
  <c r="T193" i="3"/>
  <c r="AS192" i="3"/>
  <c r="AR192" i="3"/>
  <c r="AM192" i="3"/>
  <c r="AL192" i="3"/>
  <c r="AG192" i="3"/>
  <c r="AF192" i="3"/>
  <c r="AA192" i="3"/>
  <c r="Z192" i="3"/>
  <c r="U192" i="3"/>
  <c r="T192" i="3"/>
  <c r="AS191" i="3"/>
  <c r="AR191" i="3"/>
  <c r="AM191" i="3"/>
  <c r="AL191" i="3"/>
  <c r="AG191" i="3"/>
  <c r="AF191" i="3"/>
  <c r="AA191" i="3"/>
  <c r="Z191" i="3"/>
  <c r="U191" i="3"/>
  <c r="T191" i="3"/>
  <c r="AS190" i="3"/>
  <c r="AR190" i="3"/>
  <c r="AM190" i="3"/>
  <c r="AL190" i="3"/>
  <c r="AG190" i="3"/>
  <c r="AF190" i="3"/>
  <c r="AA190" i="3"/>
  <c r="Z190" i="3"/>
  <c r="U190" i="3"/>
  <c r="T190" i="3"/>
  <c r="AS189" i="3"/>
  <c r="AR189" i="3"/>
  <c r="AM189" i="3"/>
  <c r="AL189" i="3"/>
  <c r="AG189" i="3"/>
  <c r="AF189" i="3"/>
  <c r="AA189" i="3"/>
  <c r="Z189" i="3"/>
  <c r="U189" i="3"/>
  <c r="T189" i="3"/>
  <c r="AS188" i="3"/>
  <c r="AR188" i="3"/>
  <c r="AM188" i="3"/>
  <c r="AL188" i="3"/>
  <c r="AG188" i="3"/>
  <c r="AF188" i="3"/>
  <c r="AA188" i="3"/>
  <c r="Z188" i="3"/>
  <c r="U188" i="3"/>
  <c r="T188" i="3"/>
  <c r="AS187" i="3"/>
  <c r="AR187" i="3"/>
  <c r="AM187" i="3"/>
  <c r="AL187" i="3"/>
  <c r="AG187" i="3"/>
  <c r="AF187" i="3"/>
  <c r="AA187" i="3"/>
  <c r="Z187" i="3"/>
  <c r="U187" i="3"/>
  <c r="T187" i="3"/>
  <c r="AS186" i="3"/>
  <c r="AR186" i="3"/>
  <c r="AM186" i="3"/>
  <c r="AL186" i="3"/>
  <c r="AG186" i="3"/>
  <c r="AF186" i="3"/>
  <c r="AA186" i="3"/>
  <c r="Z186" i="3"/>
  <c r="U186" i="3"/>
  <c r="T186" i="3"/>
  <c r="AS185" i="3"/>
  <c r="AR185" i="3"/>
  <c r="AM185" i="3"/>
  <c r="AL185" i="3"/>
  <c r="AG185" i="3"/>
  <c r="AF185" i="3"/>
  <c r="AA185" i="3"/>
  <c r="Z185" i="3"/>
  <c r="U185" i="3"/>
  <c r="T185" i="3"/>
  <c r="AS184" i="3"/>
  <c r="AR184" i="3"/>
  <c r="AM184" i="3"/>
  <c r="AL184" i="3"/>
  <c r="AG184" i="3"/>
  <c r="AF184" i="3"/>
  <c r="AA184" i="3"/>
  <c r="Z184" i="3"/>
  <c r="U184" i="3"/>
  <c r="T184" i="3"/>
  <c r="AS183" i="3"/>
  <c r="AR183" i="3"/>
  <c r="AM183" i="3"/>
  <c r="AL183" i="3"/>
  <c r="AG183" i="3"/>
  <c r="AF183" i="3"/>
  <c r="AA183" i="3"/>
  <c r="Z183" i="3"/>
  <c r="U183" i="3"/>
  <c r="T183" i="3"/>
  <c r="AS182" i="3"/>
  <c r="AR182" i="3"/>
  <c r="AM182" i="3"/>
  <c r="AL182" i="3"/>
  <c r="AG182" i="3"/>
  <c r="AF182" i="3"/>
  <c r="AA182" i="3"/>
  <c r="Z182" i="3"/>
  <c r="U182" i="3"/>
  <c r="T182" i="3"/>
  <c r="AS181" i="3"/>
  <c r="AR181" i="3"/>
  <c r="AM181" i="3"/>
  <c r="AL181" i="3"/>
  <c r="AG181" i="3"/>
  <c r="AF181" i="3"/>
  <c r="AA181" i="3"/>
  <c r="Z181" i="3"/>
  <c r="U181" i="3"/>
  <c r="T181" i="3"/>
  <c r="AS180" i="3"/>
  <c r="AR180" i="3"/>
  <c r="AM180" i="3"/>
  <c r="AL180" i="3"/>
  <c r="AG180" i="3"/>
  <c r="AF180" i="3"/>
  <c r="AA180" i="3"/>
  <c r="Z180" i="3"/>
  <c r="U180" i="3"/>
  <c r="T180" i="3"/>
  <c r="AS179" i="3"/>
  <c r="AR179" i="3"/>
  <c r="AM179" i="3"/>
  <c r="AL179" i="3"/>
  <c r="AG179" i="3"/>
  <c r="AF179" i="3"/>
  <c r="AA179" i="3"/>
  <c r="Z179" i="3"/>
  <c r="U179" i="3"/>
  <c r="T179" i="3"/>
  <c r="AS178" i="3"/>
  <c r="AR178" i="3"/>
  <c r="AM178" i="3"/>
  <c r="AL178" i="3"/>
  <c r="AG178" i="3"/>
  <c r="AF178" i="3"/>
  <c r="AA178" i="3"/>
  <c r="Z178" i="3"/>
  <c r="U178" i="3"/>
  <c r="T178" i="3"/>
  <c r="AS177" i="3"/>
  <c r="AR177" i="3"/>
  <c r="AM177" i="3"/>
  <c r="AL177" i="3"/>
  <c r="AG177" i="3"/>
  <c r="AF177" i="3"/>
  <c r="AA177" i="3"/>
  <c r="Z177" i="3"/>
  <c r="U177" i="3"/>
  <c r="T177" i="3"/>
  <c r="AS176" i="3"/>
  <c r="AR176" i="3"/>
  <c r="AM176" i="3"/>
  <c r="AL176" i="3"/>
  <c r="AG176" i="3"/>
  <c r="AF176" i="3"/>
  <c r="AA176" i="3"/>
  <c r="Z176" i="3"/>
  <c r="U176" i="3"/>
  <c r="T176" i="3"/>
  <c r="AS175" i="3"/>
  <c r="AR175" i="3"/>
  <c r="AM175" i="3"/>
  <c r="AL175" i="3"/>
  <c r="AG175" i="3"/>
  <c r="AF175" i="3"/>
  <c r="AA175" i="3"/>
  <c r="Z175" i="3"/>
  <c r="U175" i="3"/>
  <c r="T175" i="3"/>
  <c r="AS174" i="3"/>
  <c r="AR174" i="3"/>
  <c r="AM174" i="3"/>
  <c r="AL174" i="3"/>
  <c r="AG174" i="3"/>
  <c r="AF174" i="3"/>
  <c r="AA174" i="3"/>
  <c r="Z174" i="3"/>
  <c r="U174" i="3"/>
  <c r="T174" i="3"/>
  <c r="AS173" i="3"/>
  <c r="AR173" i="3"/>
  <c r="AM173" i="3"/>
  <c r="AL173" i="3"/>
  <c r="AG173" i="3"/>
  <c r="AF173" i="3"/>
  <c r="AA173" i="3"/>
  <c r="Z173" i="3"/>
  <c r="U173" i="3"/>
  <c r="T173" i="3"/>
  <c r="AS172" i="3"/>
  <c r="AR172" i="3"/>
  <c r="AM172" i="3"/>
  <c r="AL172" i="3"/>
  <c r="AG172" i="3"/>
  <c r="AF172" i="3"/>
  <c r="AA172" i="3"/>
  <c r="Z172" i="3"/>
  <c r="U172" i="3"/>
  <c r="T172" i="3"/>
  <c r="AS171" i="3"/>
  <c r="AR171" i="3"/>
  <c r="AM171" i="3"/>
  <c r="AL171" i="3"/>
  <c r="AG171" i="3"/>
  <c r="AF171" i="3"/>
  <c r="AA171" i="3"/>
  <c r="Z171" i="3"/>
  <c r="U171" i="3"/>
  <c r="T171" i="3"/>
  <c r="AS170" i="3"/>
  <c r="AR170" i="3"/>
  <c r="AM170" i="3"/>
  <c r="AL170" i="3"/>
  <c r="AG170" i="3"/>
  <c r="AF170" i="3"/>
  <c r="AA170" i="3"/>
  <c r="Z170" i="3"/>
  <c r="U170" i="3"/>
  <c r="T170" i="3"/>
  <c r="AS169" i="3"/>
  <c r="AR169" i="3"/>
  <c r="AM169" i="3"/>
  <c r="AL169" i="3"/>
  <c r="AG169" i="3"/>
  <c r="AF169" i="3"/>
  <c r="AA169" i="3"/>
  <c r="Z169" i="3"/>
  <c r="U169" i="3"/>
  <c r="T169" i="3"/>
  <c r="AS168" i="3"/>
  <c r="AR168" i="3"/>
  <c r="AM168" i="3"/>
  <c r="AL168" i="3"/>
  <c r="AG168" i="3"/>
  <c r="AF168" i="3"/>
  <c r="AA168" i="3"/>
  <c r="Z168" i="3"/>
  <c r="U168" i="3"/>
  <c r="T168" i="3"/>
  <c r="AS167" i="3"/>
  <c r="AR167" i="3"/>
  <c r="AM167" i="3"/>
  <c r="AL167" i="3"/>
  <c r="AG167" i="3"/>
  <c r="AF167" i="3"/>
  <c r="AA167" i="3"/>
  <c r="Z167" i="3"/>
  <c r="U167" i="3"/>
  <c r="T167" i="3"/>
  <c r="AS166" i="3"/>
  <c r="AR166" i="3"/>
  <c r="AM166" i="3"/>
  <c r="AL166" i="3"/>
  <c r="AG166" i="3"/>
  <c r="AF166" i="3"/>
  <c r="AA166" i="3"/>
  <c r="Z166" i="3"/>
  <c r="U166" i="3"/>
  <c r="T166" i="3"/>
  <c r="AS165" i="3"/>
  <c r="AR165" i="3"/>
  <c r="AM165" i="3"/>
  <c r="AL165" i="3"/>
  <c r="AG165" i="3"/>
  <c r="AF165" i="3"/>
  <c r="AA165" i="3"/>
  <c r="Z165" i="3"/>
  <c r="U165" i="3"/>
  <c r="T165" i="3"/>
  <c r="AS164" i="3"/>
  <c r="AR164" i="3"/>
  <c r="AM164" i="3"/>
  <c r="AL164" i="3"/>
  <c r="AG164" i="3"/>
  <c r="AF164" i="3"/>
  <c r="AA164" i="3"/>
  <c r="Z164" i="3"/>
  <c r="U164" i="3"/>
  <c r="T164" i="3"/>
  <c r="AS163" i="3"/>
  <c r="AR163" i="3"/>
  <c r="AM163" i="3"/>
  <c r="AL163" i="3"/>
  <c r="AG163" i="3"/>
  <c r="AF163" i="3"/>
  <c r="AA163" i="3"/>
  <c r="Z163" i="3"/>
  <c r="U163" i="3"/>
  <c r="T163" i="3"/>
  <c r="AS162" i="3"/>
  <c r="AR162" i="3"/>
  <c r="AM162" i="3"/>
  <c r="AL162" i="3"/>
  <c r="AG162" i="3"/>
  <c r="AF162" i="3"/>
  <c r="AA162" i="3"/>
  <c r="Z162" i="3"/>
  <c r="U162" i="3"/>
  <c r="T162" i="3"/>
  <c r="AS161" i="3"/>
  <c r="AR161" i="3"/>
  <c r="AM161" i="3"/>
  <c r="AL161" i="3"/>
  <c r="AG161" i="3"/>
  <c r="AF161" i="3"/>
  <c r="AA161" i="3"/>
  <c r="Z161" i="3"/>
  <c r="U161" i="3"/>
  <c r="T161" i="3"/>
  <c r="AS160" i="3"/>
  <c r="AR160" i="3"/>
  <c r="AM160" i="3"/>
  <c r="AL160" i="3"/>
  <c r="AG160" i="3"/>
  <c r="AF160" i="3"/>
  <c r="AA160" i="3"/>
  <c r="Z160" i="3"/>
  <c r="U160" i="3"/>
  <c r="T160" i="3"/>
  <c r="AS159" i="3"/>
  <c r="AR159" i="3"/>
  <c r="AM159" i="3"/>
  <c r="AL159" i="3"/>
  <c r="AG159" i="3"/>
  <c r="AF159" i="3"/>
  <c r="AA159" i="3"/>
  <c r="Z159" i="3"/>
  <c r="U159" i="3"/>
  <c r="T159" i="3"/>
  <c r="AS158" i="3"/>
  <c r="AR158" i="3"/>
  <c r="AM158" i="3"/>
  <c r="AL158" i="3"/>
  <c r="AG158" i="3"/>
  <c r="AF158" i="3"/>
  <c r="AA158" i="3"/>
  <c r="Z158" i="3"/>
  <c r="U158" i="3"/>
  <c r="T158" i="3"/>
  <c r="AS157" i="3"/>
  <c r="AR157" i="3"/>
  <c r="AM157" i="3"/>
  <c r="AL157" i="3"/>
  <c r="AG157" i="3"/>
  <c r="AF157" i="3"/>
  <c r="AA157" i="3"/>
  <c r="Z157" i="3"/>
  <c r="U157" i="3"/>
  <c r="T157" i="3"/>
  <c r="AS156" i="3"/>
  <c r="AR156" i="3"/>
  <c r="AM156" i="3"/>
  <c r="AL156" i="3"/>
  <c r="AG156" i="3"/>
  <c r="AF156" i="3"/>
  <c r="AA156" i="3"/>
  <c r="Z156" i="3"/>
  <c r="U156" i="3"/>
  <c r="T156" i="3"/>
  <c r="AS155" i="3"/>
  <c r="AR155" i="3"/>
  <c r="AM155" i="3"/>
  <c r="AL155" i="3"/>
  <c r="AG155" i="3"/>
  <c r="AF155" i="3"/>
  <c r="AA155" i="3"/>
  <c r="Z155" i="3"/>
  <c r="U155" i="3"/>
  <c r="T155" i="3"/>
  <c r="AS154" i="3"/>
  <c r="AR154" i="3"/>
  <c r="AM154" i="3"/>
  <c r="AL154" i="3"/>
  <c r="AG154" i="3"/>
  <c r="AF154" i="3"/>
  <c r="AA154" i="3"/>
  <c r="Z154" i="3"/>
  <c r="U154" i="3"/>
  <c r="T154" i="3"/>
  <c r="AS153" i="3"/>
  <c r="AR153" i="3"/>
  <c r="AM153" i="3"/>
  <c r="AL153" i="3"/>
  <c r="AG153" i="3"/>
  <c r="AF153" i="3"/>
  <c r="AA153" i="3"/>
  <c r="Z153" i="3"/>
  <c r="U153" i="3"/>
  <c r="T153" i="3"/>
  <c r="AS152" i="3"/>
  <c r="AR152" i="3"/>
  <c r="AM152" i="3"/>
  <c r="AL152" i="3"/>
  <c r="AG152" i="3"/>
  <c r="AF152" i="3"/>
  <c r="AA152" i="3"/>
  <c r="Z152" i="3"/>
  <c r="U152" i="3"/>
  <c r="T152" i="3"/>
  <c r="AS151" i="3"/>
  <c r="AR151" i="3"/>
  <c r="AM151" i="3"/>
  <c r="AL151" i="3"/>
  <c r="AG151" i="3"/>
  <c r="AF151" i="3"/>
  <c r="AA151" i="3"/>
  <c r="Z151" i="3"/>
  <c r="U151" i="3"/>
  <c r="T151" i="3"/>
  <c r="AS150" i="3"/>
  <c r="AR150" i="3"/>
  <c r="AM150" i="3"/>
  <c r="AL150" i="3"/>
  <c r="AG150" i="3"/>
  <c r="AF150" i="3"/>
  <c r="AA150" i="3"/>
  <c r="Z150" i="3"/>
  <c r="U150" i="3"/>
  <c r="T150" i="3"/>
  <c r="AS149" i="3"/>
  <c r="AR149" i="3"/>
  <c r="AM149" i="3"/>
  <c r="AL149" i="3"/>
  <c r="AG149" i="3"/>
  <c r="AF149" i="3"/>
  <c r="AA149" i="3"/>
  <c r="Z149" i="3"/>
  <c r="U149" i="3"/>
  <c r="T149" i="3"/>
  <c r="AS148" i="3"/>
  <c r="AR148" i="3"/>
  <c r="AM148" i="3"/>
  <c r="AL148" i="3"/>
  <c r="AG148" i="3"/>
  <c r="AF148" i="3"/>
  <c r="AA148" i="3"/>
  <c r="Z148" i="3"/>
  <c r="U148" i="3"/>
  <c r="T148" i="3"/>
  <c r="AS147" i="3"/>
  <c r="AR147" i="3"/>
  <c r="AM147" i="3"/>
  <c r="AL147" i="3"/>
  <c r="AG147" i="3"/>
  <c r="AF147" i="3"/>
  <c r="AA147" i="3"/>
  <c r="Z147" i="3"/>
  <c r="U147" i="3"/>
  <c r="T147" i="3"/>
  <c r="AS146" i="3"/>
  <c r="AR146" i="3"/>
  <c r="AM146" i="3"/>
  <c r="AL146" i="3"/>
  <c r="AG146" i="3"/>
  <c r="AF146" i="3"/>
  <c r="AA146" i="3"/>
  <c r="Z146" i="3"/>
  <c r="U146" i="3"/>
  <c r="T146" i="3"/>
  <c r="AS145" i="3"/>
  <c r="AR145" i="3"/>
  <c r="AM145" i="3"/>
  <c r="AL145" i="3"/>
  <c r="AG145" i="3"/>
  <c r="AF145" i="3"/>
  <c r="AA145" i="3"/>
  <c r="Z145" i="3"/>
  <c r="U145" i="3"/>
  <c r="T145" i="3"/>
  <c r="AS144" i="3"/>
  <c r="AR144" i="3"/>
  <c r="AM144" i="3"/>
  <c r="AL144" i="3"/>
  <c r="AG144" i="3"/>
  <c r="AF144" i="3"/>
  <c r="AA144" i="3"/>
  <c r="Z144" i="3"/>
  <c r="U144" i="3"/>
  <c r="T144" i="3"/>
  <c r="AS143" i="3"/>
  <c r="AR143" i="3"/>
  <c r="AM143" i="3"/>
  <c r="AL143" i="3"/>
  <c r="AG143" i="3"/>
  <c r="AF143" i="3"/>
  <c r="AA143" i="3"/>
  <c r="Z143" i="3"/>
  <c r="U143" i="3"/>
  <c r="T143" i="3"/>
  <c r="AS142" i="3"/>
  <c r="AR142" i="3"/>
  <c r="AM142" i="3"/>
  <c r="AL142" i="3"/>
  <c r="AG142" i="3"/>
  <c r="AF142" i="3"/>
  <c r="AA142" i="3"/>
  <c r="Z142" i="3"/>
  <c r="U142" i="3"/>
  <c r="T142" i="3"/>
  <c r="AS141" i="3"/>
  <c r="AR141" i="3"/>
  <c r="AM141" i="3"/>
  <c r="AL141" i="3"/>
  <c r="AG141" i="3"/>
  <c r="AF141" i="3"/>
  <c r="AA141" i="3"/>
  <c r="Z141" i="3"/>
  <c r="U141" i="3"/>
  <c r="T141" i="3"/>
  <c r="AS140" i="3"/>
  <c r="AR140" i="3"/>
  <c r="AM140" i="3"/>
  <c r="AL140" i="3"/>
  <c r="AG140" i="3"/>
  <c r="AF140" i="3"/>
  <c r="AA140" i="3"/>
  <c r="Z140" i="3"/>
  <c r="U140" i="3"/>
  <c r="T140" i="3"/>
  <c r="AS139" i="3"/>
  <c r="AR139" i="3"/>
  <c r="AM139" i="3"/>
  <c r="AL139" i="3"/>
  <c r="AG139" i="3"/>
  <c r="AF139" i="3"/>
  <c r="AA139" i="3"/>
  <c r="Z139" i="3"/>
  <c r="U139" i="3"/>
  <c r="T139" i="3"/>
  <c r="AS138" i="3"/>
  <c r="AR138" i="3"/>
  <c r="AM138" i="3"/>
  <c r="AL138" i="3"/>
  <c r="AG138" i="3"/>
  <c r="AF138" i="3"/>
  <c r="AA138" i="3"/>
  <c r="Z138" i="3"/>
  <c r="U138" i="3"/>
  <c r="T138" i="3"/>
  <c r="AS137" i="3"/>
  <c r="AR137" i="3"/>
  <c r="AM137" i="3"/>
  <c r="AL137" i="3"/>
  <c r="AG137" i="3"/>
  <c r="AF137" i="3"/>
  <c r="AA137" i="3"/>
  <c r="Z137" i="3"/>
  <c r="U137" i="3"/>
  <c r="T137" i="3"/>
  <c r="AS136" i="3"/>
  <c r="AR136" i="3"/>
  <c r="AM136" i="3"/>
  <c r="AL136" i="3"/>
  <c r="AG136" i="3"/>
  <c r="AF136" i="3"/>
  <c r="AA136" i="3"/>
  <c r="Z136" i="3"/>
  <c r="U136" i="3"/>
  <c r="T136" i="3"/>
  <c r="AS135" i="3"/>
  <c r="AR135" i="3"/>
  <c r="AM135" i="3"/>
  <c r="AL135" i="3"/>
  <c r="AG135" i="3"/>
  <c r="AF135" i="3"/>
  <c r="AA135" i="3"/>
  <c r="Z135" i="3"/>
  <c r="U135" i="3"/>
  <c r="T135" i="3"/>
  <c r="AS134" i="3"/>
  <c r="AR134" i="3"/>
  <c r="AM134" i="3"/>
  <c r="AL134" i="3"/>
  <c r="AG134" i="3"/>
  <c r="AF134" i="3"/>
  <c r="AA134" i="3"/>
  <c r="Z134" i="3"/>
  <c r="U134" i="3"/>
  <c r="T134" i="3"/>
  <c r="AS133" i="3"/>
  <c r="AR133" i="3"/>
  <c r="AM133" i="3"/>
  <c r="AL133" i="3"/>
  <c r="AG133" i="3"/>
  <c r="AF133" i="3"/>
  <c r="AA133" i="3"/>
  <c r="Z133" i="3"/>
  <c r="U133" i="3"/>
  <c r="T133" i="3"/>
  <c r="AS132" i="3"/>
  <c r="AR132" i="3"/>
  <c r="AM132" i="3"/>
  <c r="AL132" i="3"/>
  <c r="AG132" i="3"/>
  <c r="AF132" i="3"/>
  <c r="AA132" i="3"/>
  <c r="Z132" i="3"/>
  <c r="U132" i="3"/>
  <c r="T132" i="3"/>
  <c r="AS131" i="3"/>
  <c r="AR131" i="3"/>
  <c r="AM131" i="3"/>
  <c r="AL131" i="3"/>
  <c r="AG131" i="3"/>
  <c r="AF131" i="3"/>
  <c r="AA131" i="3"/>
  <c r="Z131" i="3"/>
  <c r="U131" i="3"/>
  <c r="T131" i="3"/>
  <c r="AS130" i="3"/>
  <c r="AR130" i="3"/>
  <c r="AM130" i="3"/>
  <c r="AL130" i="3"/>
  <c r="AG130" i="3"/>
  <c r="AF130" i="3"/>
  <c r="AA130" i="3"/>
  <c r="Z130" i="3"/>
  <c r="U130" i="3"/>
  <c r="T130" i="3"/>
  <c r="AS129" i="3"/>
  <c r="AR129" i="3"/>
  <c r="AM129" i="3"/>
  <c r="AL129" i="3"/>
  <c r="AG129" i="3"/>
  <c r="AF129" i="3"/>
  <c r="AA129" i="3"/>
  <c r="Z129" i="3"/>
  <c r="U129" i="3"/>
  <c r="T129" i="3"/>
  <c r="AS128" i="3"/>
  <c r="AR128" i="3"/>
  <c r="AM128" i="3"/>
  <c r="AL128" i="3"/>
  <c r="AG128" i="3"/>
  <c r="AF128" i="3"/>
  <c r="AA128" i="3"/>
  <c r="Z128" i="3"/>
  <c r="U128" i="3"/>
  <c r="T128" i="3"/>
  <c r="AS127" i="3"/>
  <c r="AR127" i="3"/>
  <c r="AM127" i="3"/>
  <c r="AL127" i="3"/>
  <c r="AG127" i="3"/>
  <c r="AF127" i="3"/>
  <c r="AA127" i="3"/>
  <c r="Z127" i="3"/>
  <c r="U127" i="3"/>
  <c r="T127" i="3"/>
  <c r="AS126" i="3"/>
  <c r="AR126" i="3"/>
  <c r="AM126" i="3"/>
  <c r="AL126" i="3"/>
  <c r="AG126" i="3"/>
  <c r="AF126" i="3"/>
  <c r="AA126" i="3"/>
  <c r="Z126" i="3"/>
  <c r="U126" i="3"/>
  <c r="T126" i="3"/>
  <c r="AS125" i="3"/>
  <c r="AR125" i="3"/>
  <c r="AM125" i="3"/>
  <c r="AL125" i="3"/>
  <c r="AG125" i="3"/>
  <c r="AF125" i="3"/>
  <c r="AA125" i="3"/>
  <c r="Z125" i="3"/>
  <c r="U125" i="3"/>
  <c r="T125" i="3"/>
  <c r="AS124" i="3"/>
  <c r="AR124" i="3"/>
  <c r="AM124" i="3"/>
  <c r="AL124" i="3"/>
  <c r="AG124" i="3"/>
  <c r="AF124" i="3"/>
  <c r="AA124" i="3"/>
  <c r="Z124" i="3"/>
  <c r="U124" i="3"/>
  <c r="T124" i="3"/>
  <c r="AS123" i="3"/>
  <c r="AR123" i="3"/>
  <c r="AM123" i="3"/>
  <c r="AL123" i="3"/>
  <c r="AG123" i="3"/>
  <c r="AF123" i="3"/>
  <c r="AA123" i="3"/>
  <c r="Z123" i="3"/>
  <c r="U123" i="3"/>
  <c r="T123" i="3"/>
  <c r="AS122" i="3"/>
  <c r="AR122" i="3"/>
  <c r="AM122" i="3"/>
  <c r="AL122" i="3"/>
  <c r="AG122" i="3"/>
  <c r="AF122" i="3"/>
  <c r="AA122" i="3"/>
  <c r="Z122" i="3"/>
  <c r="U122" i="3"/>
  <c r="T122" i="3"/>
  <c r="AS121" i="3"/>
  <c r="AR121" i="3"/>
  <c r="AM121" i="3"/>
  <c r="AL121" i="3"/>
  <c r="AG121" i="3"/>
  <c r="AF121" i="3"/>
  <c r="AA121" i="3"/>
  <c r="Z121" i="3"/>
  <c r="U121" i="3"/>
  <c r="T121" i="3"/>
  <c r="AS120" i="3"/>
  <c r="AR120" i="3"/>
  <c r="AM120" i="3"/>
  <c r="AL120" i="3"/>
  <c r="AG120" i="3"/>
  <c r="AF120" i="3"/>
  <c r="AA120" i="3"/>
  <c r="Z120" i="3"/>
  <c r="U120" i="3"/>
  <c r="T120" i="3"/>
  <c r="AS119" i="3"/>
  <c r="AR119" i="3"/>
  <c r="AM119" i="3"/>
  <c r="AL119" i="3"/>
  <c r="AG119" i="3"/>
  <c r="AF119" i="3"/>
  <c r="AA119" i="3"/>
  <c r="Z119" i="3"/>
  <c r="U119" i="3"/>
  <c r="T119" i="3"/>
  <c r="AS118" i="3"/>
  <c r="AR118" i="3"/>
  <c r="AM118" i="3"/>
  <c r="AL118" i="3"/>
  <c r="AG118" i="3"/>
  <c r="AF118" i="3"/>
  <c r="AA118" i="3"/>
  <c r="Z118" i="3"/>
  <c r="U118" i="3"/>
  <c r="T118" i="3"/>
  <c r="AS117" i="3"/>
  <c r="AR117" i="3"/>
  <c r="AM117" i="3"/>
  <c r="AL117" i="3"/>
  <c r="AG117" i="3"/>
  <c r="AF117" i="3"/>
  <c r="AA117" i="3"/>
  <c r="Z117" i="3"/>
  <c r="U117" i="3"/>
  <c r="T117" i="3"/>
  <c r="AS116" i="3"/>
  <c r="AR116" i="3"/>
  <c r="AM116" i="3"/>
  <c r="AL116" i="3"/>
  <c r="AG116" i="3"/>
  <c r="AF116" i="3"/>
  <c r="AA116" i="3"/>
  <c r="Z116" i="3"/>
  <c r="U116" i="3"/>
  <c r="T116" i="3"/>
  <c r="AS115" i="3"/>
  <c r="AR115" i="3"/>
  <c r="AM115" i="3"/>
  <c r="AL115" i="3"/>
  <c r="AG115" i="3"/>
  <c r="AF115" i="3"/>
  <c r="AA115" i="3"/>
  <c r="Z115" i="3"/>
  <c r="U115" i="3"/>
  <c r="T115" i="3"/>
  <c r="AS114" i="3"/>
  <c r="AR114" i="3"/>
  <c r="AM114" i="3"/>
  <c r="AL114" i="3"/>
  <c r="AG114" i="3"/>
  <c r="AF114" i="3"/>
  <c r="AA114" i="3"/>
  <c r="Z114" i="3"/>
  <c r="U114" i="3"/>
  <c r="T114" i="3"/>
  <c r="AS113" i="3"/>
  <c r="AR113" i="3"/>
  <c r="AM113" i="3"/>
  <c r="AL113" i="3"/>
  <c r="AG113" i="3"/>
  <c r="AF113" i="3"/>
  <c r="AA113" i="3"/>
  <c r="Z113" i="3"/>
  <c r="U113" i="3"/>
  <c r="T113" i="3"/>
  <c r="AS112" i="3"/>
  <c r="AR112" i="3"/>
  <c r="AM112" i="3"/>
  <c r="AL112" i="3"/>
  <c r="AG112" i="3"/>
  <c r="AF112" i="3"/>
  <c r="AA112" i="3"/>
  <c r="Z112" i="3"/>
  <c r="U112" i="3"/>
  <c r="T112" i="3"/>
  <c r="AS111" i="3"/>
  <c r="AR111" i="3"/>
  <c r="AM111" i="3"/>
  <c r="AL111" i="3"/>
  <c r="AG111" i="3"/>
  <c r="AF111" i="3"/>
  <c r="AA111" i="3"/>
  <c r="Z111" i="3"/>
  <c r="U111" i="3"/>
  <c r="T111" i="3"/>
  <c r="AS110" i="3"/>
  <c r="AR110" i="3"/>
  <c r="AM110" i="3"/>
  <c r="AL110" i="3"/>
  <c r="AG110" i="3"/>
  <c r="AF110" i="3"/>
  <c r="AA110" i="3"/>
  <c r="Z110" i="3"/>
  <c r="U110" i="3"/>
  <c r="T110" i="3"/>
  <c r="AS109" i="3"/>
  <c r="AR109" i="3"/>
  <c r="AM109" i="3"/>
  <c r="AL109" i="3"/>
  <c r="AG109" i="3"/>
  <c r="AF109" i="3"/>
  <c r="AA109" i="3"/>
  <c r="Z109" i="3"/>
  <c r="U109" i="3"/>
  <c r="T109" i="3"/>
  <c r="AS108" i="3"/>
  <c r="AR108" i="3"/>
  <c r="AM108" i="3"/>
  <c r="AL108" i="3"/>
  <c r="AG108" i="3"/>
  <c r="AF108" i="3"/>
  <c r="AA108" i="3"/>
  <c r="Z108" i="3"/>
  <c r="U108" i="3"/>
  <c r="T108" i="3"/>
  <c r="AS107" i="3"/>
  <c r="AR107" i="3"/>
  <c r="AM107" i="3"/>
  <c r="AL107" i="3"/>
  <c r="AG107" i="3"/>
  <c r="AF107" i="3"/>
  <c r="AA107" i="3"/>
  <c r="Z107" i="3"/>
  <c r="U107" i="3"/>
  <c r="T107" i="3"/>
  <c r="AS106" i="3"/>
  <c r="AR106" i="3"/>
  <c r="AM106" i="3"/>
  <c r="AL106" i="3"/>
  <c r="AG106" i="3"/>
  <c r="AF106" i="3"/>
  <c r="AA106" i="3"/>
  <c r="Z106" i="3"/>
  <c r="U106" i="3"/>
  <c r="T106" i="3"/>
  <c r="AS105" i="3"/>
  <c r="AR105" i="3"/>
  <c r="AM105" i="3"/>
  <c r="AL105" i="3"/>
  <c r="AG105" i="3"/>
  <c r="AF105" i="3"/>
  <c r="AA105" i="3"/>
  <c r="Z105" i="3"/>
  <c r="U105" i="3"/>
  <c r="T105" i="3"/>
  <c r="AS104" i="3"/>
  <c r="AR104" i="3"/>
  <c r="AM104" i="3"/>
  <c r="AL104" i="3"/>
  <c r="AG104" i="3"/>
  <c r="AF104" i="3"/>
  <c r="AA104" i="3"/>
  <c r="Z104" i="3"/>
  <c r="U104" i="3"/>
  <c r="T104" i="3"/>
  <c r="AS103" i="3"/>
  <c r="AR103" i="3"/>
  <c r="AM103" i="3"/>
  <c r="AL103" i="3"/>
  <c r="AG103" i="3"/>
  <c r="AF103" i="3"/>
  <c r="AA103" i="3"/>
  <c r="Z103" i="3"/>
  <c r="U103" i="3"/>
  <c r="T103" i="3"/>
  <c r="AS102" i="3"/>
  <c r="AR102" i="3"/>
  <c r="AM102" i="3"/>
  <c r="AL102" i="3"/>
  <c r="AG102" i="3"/>
  <c r="AF102" i="3"/>
  <c r="AA102" i="3"/>
  <c r="Z102" i="3"/>
  <c r="U102" i="3"/>
  <c r="T102" i="3"/>
  <c r="AS101" i="3"/>
  <c r="AR101" i="3"/>
  <c r="AM101" i="3"/>
  <c r="AL101" i="3"/>
  <c r="AG101" i="3"/>
  <c r="AF101" i="3"/>
  <c r="AA101" i="3"/>
  <c r="Z101" i="3"/>
  <c r="U101" i="3"/>
  <c r="T101" i="3"/>
  <c r="AS100" i="3"/>
  <c r="AR100" i="3"/>
  <c r="AM100" i="3"/>
  <c r="AL100" i="3"/>
  <c r="AG100" i="3"/>
  <c r="AF100" i="3"/>
  <c r="AA100" i="3"/>
  <c r="Z100" i="3"/>
  <c r="U100" i="3"/>
  <c r="T100" i="3"/>
  <c r="AS99" i="3"/>
  <c r="AR99" i="3"/>
  <c r="AM99" i="3"/>
  <c r="AL99" i="3"/>
  <c r="AG99" i="3"/>
  <c r="AF99" i="3"/>
  <c r="AA99" i="3"/>
  <c r="Z99" i="3"/>
  <c r="U99" i="3"/>
  <c r="T99" i="3"/>
  <c r="AS98" i="3"/>
  <c r="AR98" i="3"/>
  <c r="AM98" i="3"/>
  <c r="AL98" i="3"/>
  <c r="AG98" i="3"/>
  <c r="AF98" i="3"/>
  <c r="AA98" i="3"/>
  <c r="Z98" i="3"/>
  <c r="U98" i="3"/>
  <c r="T98" i="3"/>
  <c r="AS97" i="3"/>
  <c r="AR97" i="3"/>
  <c r="AM97" i="3"/>
  <c r="AL97" i="3"/>
  <c r="AG97" i="3"/>
  <c r="AF97" i="3"/>
  <c r="AA97" i="3"/>
  <c r="Z97" i="3"/>
  <c r="U97" i="3"/>
  <c r="T97" i="3"/>
  <c r="AS96" i="3"/>
  <c r="AR96" i="3"/>
  <c r="AM96" i="3"/>
  <c r="AL96" i="3"/>
  <c r="AG96" i="3"/>
  <c r="AF96" i="3"/>
  <c r="AA96" i="3"/>
  <c r="Z96" i="3"/>
  <c r="U96" i="3"/>
  <c r="T96" i="3"/>
  <c r="AS95" i="3"/>
  <c r="AR95" i="3"/>
  <c r="AM95" i="3"/>
  <c r="AL95" i="3"/>
  <c r="AG95" i="3"/>
  <c r="AF95" i="3"/>
  <c r="AA95" i="3"/>
  <c r="Z95" i="3"/>
  <c r="U95" i="3"/>
  <c r="T95" i="3"/>
  <c r="AS94" i="3"/>
  <c r="AR94" i="3"/>
  <c r="AM94" i="3"/>
  <c r="AL94" i="3"/>
  <c r="AG94" i="3"/>
  <c r="AF94" i="3"/>
  <c r="AA94" i="3"/>
  <c r="Z94" i="3"/>
  <c r="U94" i="3"/>
  <c r="T94" i="3"/>
  <c r="AS93" i="3"/>
  <c r="AR93" i="3"/>
  <c r="AM93" i="3"/>
  <c r="AL93" i="3"/>
  <c r="AG93" i="3"/>
  <c r="AF93" i="3"/>
  <c r="AA93" i="3"/>
  <c r="Z93" i="3"/>
  <c r="U93" i="3"/>
  <c r="T93" i="3"/>
  <c r="AS92" i="3"/>
  <c r="AR92" i="3"/>
  <c r="AM92" i="3"/>
  <c r="AL92" i="3"/>
  <c r="AG92" i="3"/>
  <c r="AF92" i="3"/>
  <c r="AA92" i="3"/>
  <c r="Z92" i="3"/>
  <c r="U92" i="3"/>
  <c r="T92" i="3"/>
  <c r="AS91" i="3"/>
  <c r="AR91" i="3"/>
  <c r="AM91" i="3"/>
  <c r="AL91" i="3"/>
  <c r="AG91" i="3"/>
  <c r="AF91" i="3"/>
  <c r="AA91" i="3"/>
  <c r="Z91" i="3"/>
  <c r="U91" i="3"/>
  <c r="T91" i="3"/>
  <c r="AS90" i="3"/>
  <c r="AR90" i="3"/>
  <c r="AM90" i="3"/>
  <c r="AL90" i="3"/>
  <c r="AG90" i="3"/>
  <c r="AF90" i="3"/>
  <c r="AA90" i="3"/>
  <c r="Z90" i="3"/>
  <c r="U90" i="3"/>
  <c r="T90" i="3"/>
  <c r="AS89" i="3"/>
  <c r="AR89" i="3"/>
  <c r="AM89" i="3"/>
  <c r="AL89" i="3"/>
  <c r="AG89" i="3"/>
  <c r="AF89" i="3"/>
  <c r="AA89" i="3"/>
  <c r="Z89" i="3"/>
  <c r="U89" i="3"/>
  <c r="T89" i="3"/>
  <c r="AS88" i="3"/>
  <c r="AR88" i="3"/>
  <c r="AM88" i="3"/>
  <c r="AL88" i="3"/>
  <c r="AG88" i="3"/>
  <c r="AF88" i="3"/>
  <c r="AA88" i="3"/>
  <c r="Z88" i="3"/>
  <c r="U88" i="3"/>
  <c r="T88" i="3"/>
  <c r="AS87" i="3"/>
  <c r="AR87" i="3"/>
  <c r="AM87" i="3"/>
  <c r="AL87" i="3"/>
  <c r="AG87" i="3"/>
  <c r="AF87" i="3"/>
  <c r="AA87" i="3"/>
  <c r="Z87" i="3"/>
  <c r="U87" i="3"/>
  <c r="T87" i="3"/>
  <c r="AS86" i="3"/>
  <c r="AR86" i="3"/>
  <c r="AM86" i="3"/>
  <c r="AL86" i="3"/>
  <c r="AG86" i="3"/>
  <c r="AF86" i="3"/>
  <c r="AA86" i="3"/>
  <c r="Z86" i="3"/>
  <c r="U86" i="3"/>
  <c r="T86" i="3"/>
  <c r="AS85" i="3"/>
  <c r="AR85" i="3"/>
  <c r="AM85" i="3"/>
  <c r="AL85" i="3"/>
  <c r="AG85" i="3"/>
  <c r="AF85" i="3"/>
  <c r="AA85" i="3"/>
  <c r="Z85" i="3"/>
  <c r="U85" i="3"/>
  <c r="T85" i="3"/>
  <c r="AS84" i="3"/>
  <c r="AR84" i="3"/>
  <c r="AM84" i="3"/>
  <c r="AL84" i="3"/>
  <c r="AG84" i="3"/>
  <c r="AF84" i="3"/>
  <c r="AA84" i="3"/>
  <c r="Z84" i="3"/>
  <c r="U84" i="3"/>
  <c r="T84" i="3"/>
  <c r="AS83" i="3"/>
  <c r="AR83" i="3"/>
  <c r="AM83" i="3"/>
  <c r="AL83" i="3"/>
  <c r="AG83" i="3"/>
  <c r="AF83" i="3"/>
  <c r="AA83" i="3"/>
  <c r="Z83" i="3"/>
  <c r="U83" i="3"/>
  <c r="T83" i="3"/>
  <c r="AS82" i="3"/>
  <c r="AR82" i="3"/>
  <c r="AM82" i="3"/>
  <c r="AL82" i="3"/>
  <c r="AG82" i="3"/>
  <c r="AF82" i="3"/>
  <c r="AA82" i="3"/>
  <c r="Z82" i="3"/>
  <c r="U82" i="3"/>
  <c r="T82" i="3"/>
  <c r="AS81" i="3"/>
  <c r="AR81" i="3"/>
  <c r="AM81" i="3"/>
  <c r="AL81" i="3"/>
  <c r="AG81" i="3"/>
  <c r="AF81" i="3"/>
  <c r="AA81" i="3"/>
  <c r="Z81" i="3"/>
  <c r="U81" i="3"/>
  <c r="T81" i="3"/>
  <c r="AS80" i="3"/>
  <c r="AR80" i="3"/>
  <c r="AM80" i="3"/>
  <c r="AL80" i="3"/>
  <c r="AG80" i="3"/>
  <c r="AF80" i="3"/>
  <c r="AA80" i="3"/>
  <c r="Z80" i="3"/>
  <c r="U80" i="3"/>
  <c r="T80" i="3"/>
  <c r="AS79" i="3"/>
  <c r="AR79" i="3"/>
  <c r="AM79" i="3"/>
  <c r="AL79" i="3"/>
  <c r="AG79" i="3"/>
  <c r="AF79" i="3"/>
  <c r="AA79" i="3"/>
  <c r="Z79" i="3"/>
  <c r="U79" i="3"/>
  <c r="T79" i="3"/>
  <c r="AS78" i="3"/>
  <c r="AR78" i="3"/>
  <c r="AM78" i="3"/>
  <c r="AL78" i="3"/>
  <c r="AG78" i="3"/>
  <c r="AF78" i="3"/>
  <c r="AA78" i="3"/>
  <c r="Z78" i="3"/>
  <c r="U78" i="3"/>
  <c r="T78" i="3"/>
  <c r="AS77" i="3"/>
  <c r="AR77" i="3"/>
  <c r="AM77" i="3"/>
  <c r="AL77" i="3"/>
  <c r="AG77" i="3"/>
  <c r="AF77" i="3"/>
  <c r="AA77" i="3"/>
  <c r="Z77" i="3"/>
  <c r="U77" i="3"/>
  <c r="T77" i="3"/>
  <c r="AS76" i="3"/>
  <c r="AR76" i="3"/>
  <c r="AM76" i="3"/>
  <c r="AL76" i="3"/>
  <c r="AG76" i="3"/>
  <c r="AF76" i="3"/>
  <c r="AA76" i="3"/>
  <c r="Z76" i="3"/>
  <c r="U76" i="3"/>
  <c r="T76" i="3"/>
  <c r="AS75" i="3"/>
  <c r="AR75" i="3"/>
  <c r="AM75" i="3"/>
  <c r="AL75" i="3"/>
  <c r="AG75" i="3"/>
  <c r="AF75" i="3"/>
  <c r="AA75" i="3"/>
  <c r="Z75" i="3"/>
  <c r="U75" i="3"/>
  <c r="T75" i="3"/>
  <c r="AS74" i="3"/>
  <c r="AR74" i="3"/>
  <c r="AM74" i="3"/>
  <c r="AL74" i="3"/>
  <c r="AG74" i="3"/>
  <c r="AF74" i="3"/>
  <c r="AA74" i="3"/>
  <c r="Z74" i="3"/>
  <c r="U74" i="3"/>
  <c r="T74" i="3"/>
  <c r="AS73" i="3"/>
  <c r="AR73" i="3"/>
  <c r="AM73" i="3"/>
  <c r="AL73" i="3"/>
  <c r="AG73" i="3"/>
  <c r="AF73" i="3"/>
  <c r="AA73" i="3"/>
  <c r="Z73" i="3"/>
  <c r="U73" i="3"/>
  <c r="T73" i="3"/>
  <c r="AS72" i="3"/>
  <c r="AR72" i="3"/>
  <c r="AM72" i="3"/>
  <c r="AL72" i="3"/>
  <c r="AG72" i="3"/>
  <c r="AF72" i="3"/>
  <c r="AA72" i="3"/>
  <c r="Z72" i="3"/>
  <c r="U72" i="3"/>
  <c r="T72" i="3"/>
  <c r="AS71" i="3"/>
  <c r="AR71" i="3"/>
  <c r="AM71" i="3"/>
  <c r="AL71" i="3"/>
  <c r="AG71" i="3"/>
  <c r="AF71" i="3"/>
  <c r="AA71" i="3"/>
  <c r="Z71" i="3"/>
  <c r="U71" i="3"/>
  <c r="T71" i="3"/>
  <c r="AS70" i="3"/>
  <c r="AR70" i="3"/>
  <c r="AM70" i="3"/>
  <c r="AL70" i="3"/>
  <c r="AG70" i="3"/>
  <c r="AF70" i="3"/>
  <c r="AA70" i="3"/>
  <c r="Z70" i="3"/>
  <c r="U70" i="3"/>
  <c r="T70" i="3"/>
  <c r="AS69" i="3"/>
  <c r="AR69" i="3"/>
  <c r="AM69" i="3"/>
  <c r="AL69" i="3"/>
  <c r="AG69" i="3"/>
  <c r="AF69" i="3"/>
  <c r="AA69" i="3"/>
  <c r="Z69" i="3"/>
  <c r="U69" i="3"/>
  <c r="T69" i="3"/>
  <c r="AS68" i="3"/>
  <c r="AR68" i="3"/>
  <c r="AM68" i="3"/>
  <c r="AL68" i="3"/>
  <c r="AG68" i="3"/>
  <c r="AF68" i="3"/>
  <c r="AA68" i="3"/>
  <c r="Z68" i="3"/>
  <c r="U68" i="3"/>
  <c r="T68" i="3"/>
  <c r="AS67" i="3"/>
  <c r="AR67" i="3"/>
  <c r="AM67" i="3"/>
  <c r="AL67" i="3"/>
  <c r="AG67" i="3"/>
  <c r="AF67" i="3"/>
  <c r="AA67" i="3"/>
  <c r="Z67" i="3"/>
  <c r="U67" i="3"/>
  <c r="T67" i="3"/>
  <c r="AS66" i="3"/>
  <c r="AR66" i="3"/>
  <c r="AM66" i="3"/>
  <c r="AL66" i="3"/>
  <c r="AG66" i="3"/>
  <c r="AF66" i="3"/>
  <c r="AA66" i="3"/>
  <c r="Z66" i="3"/>
  <c r="U66" i="3"/>
  <c r="T66" i="3"/>
  <c r="AS65" i="3"/>
  <c r="AR65" i="3"/>
  <c r="AM65" i="3"/>
  <c r="AL65" i="3"/>
  <c r="AG65" i="3"/>
  <c r="AF65" i="3"/>
  <c r="AA65" i="3"/>
  <c r="Z65" i="3"/>
  <c r="U65" i="3"/>
  <c r="T65" i="3"/>
  <c r="AS64" i="3"/>
  <c r="AR64" i="3"/>
  <c r="AM64" i="3"/>
  <c r="AL64" i="3"/>
  <c r="AG64" i="3"/>
  <c r="AF64" i="3"/>
  <c r="AA64" i="3"/>
  <c r="Z64" i="3"/>
  <c r="U64" i="3"/>
  <c r="T64" i="3"/>
  <c r="AS63" i="3"/>
  <c r="AR63" i="3"/>
  <c r="AM63" i="3"/>
  <c r="AL63" i="3"/>
  <c r="AG63" i="3"/>
  <c r="AF63" i="3"/>
  <c r="AA63" i="3"/>
  <c r="Z63" i="3"/>
  <c r="U63" i="3"/>
  <c r="T63" i="3"/>
  <c r="AS62" i="3"/>
  <c r="AR62" i="3"/>
  <c r="AM62" i="3"/>
  <c r="AL62" i="3"/>
  <c r="AG62" i="3"/>
  <c r="AF62" i="3"/>
  <c r="AA62" i="3"/>
  <c r="Z62" i="3"/>
  <c r="U62" i="3"/>
  <c r="T62" i="3"/>
  <c r="AS61" i="3"/>
  <c r="AR61" i="3"/>
  <c r="AM61" i="3"/>
  <c r="AL61" i="3"/>
  <c r="AG61" i="3"/>
  <c r="AF61" i="3"/>
  <c r="AA61" i="3"/>
  <c r="Z61" i="3"/>
  <c r="U61" i="3"/>
  <c r="T61" i="3"/>
  <c r="AS60" i="3"/>
  <c r="AR60" i="3"/>
  <c r="AM60" i="3"/>
  <c r="AL60" i="3"/>
  <c r="AG60" i="3"/>
  <c r="AF60" i="3"/>
  <c r="AA60" i="3"/>
  <c r="Z60" i="3"/>
  <c r="U60" i="3"/>
  <c r="T60" i="3"/>
  <c r="AS59" i="3"/>
  <c r="AR59" i="3"/>
  <c r="AM59" i="3"/>
  <c r="AL59" i="3"/>
  <c r="AG59" i="3"/>
  <c r="AF59" i="3"/>
  <c r="AA59" i="3"/>
  <c r="Z59" i="3"/>
  <c r="U59" i="3"/>
  <c r="T59" i="3"/>
  <c r="AS58" i="3"/>
  <c r="AR58" i="3"/>
  <c r="AM58" i="3"/>
  <c r="AL58" i="3"/>
  <c r="AG58" i="3"/>
  <c r="AF58" i="3"/>
  <c r="AA58" i="3"/>
  <c r="Z58" i="3"/>
  <c r="U58" i="3"/>
  <c r="T58" i="3"/>
  <c r="AS57" i="3"/>
  <c r="AR57" i="3"/>
  <c r="AM57" i="3"/>
  <c r="AL57" i="3"/>
  <c r="AG57" i="3"/>
  <c r="AF57" i="3"/>
  <c r="AA57" i="3"/>
  <c r="Z57" i="3"/>
  <c r="U57" i="3"/>
  <c r="T57" i="3"/>
  <c r="AS56" i="3"/>
  <c r="AR56" i="3"/>
  <c r="AM56" i="3"/>
  <c r="AL56" i="3"/>
  <c r="AG56" i="3"/>
  <c r="AF56" i="3"/>
  <c r="AA56" i="3"/>
  <c r="Z56" i="3"/>
  <c r="U56" i="3"/>
  <c r="T56" i="3"/>
  <c r="AS55" i="3"/>
  <c r="AR55" i="3"/>
  <c r="AM55" i="3"/>
  <c r="AL55" i="3"/>
  <c r="AG55" i="3"/>
  <c r="AF55" i="3"/>
  <c r="AA55" i="3"/>
  <c r="Z55" i="3"/>
  <c r="U55" i="3"/>
  <c r="T55" i="3"/>
  <c r="AS54" i="3"/>
  <c r="AR54" i="3"/>
  <c r="AM54" i="3"/>
  <c r="AL54" i="3"/>
  <c r="AG54" i="3"/>
  <c r="AF54" i="3"/>
  <c r="AA54" i="3"/>
  <c r="Z54" i="3"/>
  <c r="U54" i="3"/>
  <c r="T54" i="3"/>
  <c r="AS53" i="3"/>
  <c r="AR53" i="3"/>
  <c r="AM53" i="3"/>
  <c r="AL53" i="3"/>
  <c r="AG53" i="3"/>
  <c r="AF53" i="3"/>
  <c r="AA53" i="3"/>
  <c r="Z53" i="3"/>
  <c r="U53" i="3"/>
  <c r="T53" i="3"/>
  <c r="AS52" i="3"/>
  <c r="AR52" i="3"/>
  <c r="AM52" i="3"/>
  <c r="AL52" i="3"/>
  <c r="AG52" i="3"/>
  <c r="AF52" i="3"/>
  <c r="AA52" i="3"/>
  <c r="Z52" i="3"/>
  <c r="U52" i="3"/>
  <c r="T52" i="3"/>
  <c r="AS51" i="3"/>
  <c r="AR51" i="3"/>
  <c r="AM51" i="3"/>
  <c r="AL51" i="3"/>
  <c r="E7" i="3" s="1"/>
  <c r="AG51" i="3"/>
  <c r="AF51" i="3"/>
  <c r="AA51" i="3"/>
  <c r="Z51" i="3"/>
  <c r="U51" i="3"/>
  <c r="T51" i="3"/>
  <c r="AS50" i="3"/>
  <c r="AR50" i="3"/>
  <c r="AM50" i="3"/>
  <c r="AL50" i="3"/>
  <c r="AG50" i="3"/>
  <c r="AF50" i="3"/>
  <c r="AA50" i="3"/>
  <c r="Z50" i="3"/>
  <c r="U50" i="3"/>
  <c r="T50" i="3"/>
  <c r="AS49" i="3"/>
  <c r="AR49" i="3"/>
  <c r="AM49" i="3"/>
  <c r="AL49" i="3"/>
  <c r="AG49" i="3"/>
  <c r="D7" i="3" s="1"/>
  <c r="AF49" i="3"/>
  <c r="AA49" i="3"/>
  <c r="Z49" i="3"/>
  <c r="U49" i="3"/>
  <c r="T49" i="3"/>
  <c r="AS48" i="3"/>
  <c r="AR48" i="3"/>
  <c r="AM48" i="3"/>
  <c r="AL48" i="3"/>
  <c r="AG48" i="3"/>
  <c r="AF48" i="3"/>
  <c r="AA48" i="3"/>
  <c r="Z48" i="3"/>
  <c r="U48" i="3"/>
  <c r="T48" i="3"/>
  <c r="AS47" i="3"/>
  <c r="AR47" i="3"/>
  <c r="AM47" i="3"/>
  <c r="AL47" i="3"/>
  <c r="AG47" i="3"/>
  <c r="AF47" i="3"/>
  <c r="AA47" i="3"/>
  <c r="Z47" i="3"/>
  <c r="U47" i="3"/>
  <c r="T47" i="3"/>
  <c r="AS46" i="3"/>
  <c r="AR46" i="3"/>
  <c r="F7" i="3" s="1"/>
  <c r="AM46" i="3"/>
  <c r="AL46" i="3"/>
  <c r="AG46" i="3"/>
  <c r="AF46" i="3"/>
  <c r="AA46" i="3"/>
  <c r="C7" i="3" s="1"/>
  <c r="Z46" i="3"/>
  <c r="U46" i="3"/>
  <c r="T46" i="3"/>
  <c r="AS45" i="3"/>
  <c r="AR45" i="3"/>
  <c r="AM45" i="3"/>
  <c r="AL45" i="3"/>
  <c r="AG45" i="3"/>
  <c r="AF45" i="3"/>
  <c r="AA45" i="3"/>
  <c r="Z45" i="3"/>
  <c r="U45" i="3"/>
  <c r="T45" i="3"/>
  <c r="F41" i="3"/>
  <c r="F5" i="3" s="1"/>
  <c r="E41" i="3"/>
  <c r="E5" i="3" s="1"/>
  <c r="D41" i="3"/>
  <c r="D5" i="3" s="1"/>
  <c r="C41" i="3"/>
  <c r="C5" i="3" s="1"/>
  <c r="B41" i="3"/>
  <c r="B5" i="3" s="1"/>
  <c r="M12" i="3"/>
  <c r="M13" i="3" s="1"/>
  <c r="M14" i="3" s="1"/>
  <c r="L12" i="3"/>
  <c r="L13" i="3" s="1"/>
  <c r="L14" i="3" s="1"/>
  <c r="K12" i="3"/>
  <c r="K13" i="3" s="1"/>
  <c r="K14" i="3" s="1"/>
  <c r="J12" i="3"/>
  <c r="J13" i="3" s="1"/>
  <c r="J14" i="3" s="1"/>
  <c r="N7" i="3"/>
  <c r="N12" i="3" s="1"/>
  <c r="N13" i="3" s="1"/>
  <c r="N14" i="3" s="1"/>
  <c r="M7" i="3"/>
  <c r="L7" i="3"/>
  <c r="K7" i="3"/>
  <c r="J7" i="3"/>
  <c r="B7" i="3"/>
  <c r="F4" i="3"/>
  <c r="E4" i="3"/>
  <c r="D4" i="3"/>
  <c r="D6" i="3" s="1"/>
  <c r="C4" i="3"/>
  <c r="C6" i="3" s="1"/>
  <c r="B4" i="3"/>
  <c r="O5" i="7" l="1"/>
  <c r="O20" i="7"/>
  <c r="C8" i="3"/>
  <c r="K10" i="5" s="1"/>
  <c r="K12" i="5"/>
  <c r="H14" i="7"/>
  <c r="D8" i="3"/>
  <c r="L10" i="5" s="1"/>
  <c r="B6" i="3"/>
  <c r="B8" i="3" s="1"/>
  <c r="J10" i="5" s="1"/>
  <c r="E6" i="3"/>
  <c r="E8" i="3"/>
  <c r="M10" i="5" s="1"/>
  <c r="M12" i="5" s="1"/>
  <c r="H3" i="7"/>
  <c r="F6" i="3"/>
  <c r="F8" i="3"/>
  <c r="N10" i="5" s="1"/>
  <c r="N12" i="5" s="1"/>
  <c r="N28" i="7"/>
  <c r="O8" i="7"/>
  <c r="P8" i="7" s="1"/>
  <c r="Q8" i="7" s="1"/>
  <c r="P13" i="7"/>
  <c r="Q13" i="7" s="1"/>
  <c r="O13" i="7"/>
  <c r="N23" i="7"/>
  <c r="N25" i="7"/>
  <c r="N27" i="7"/>
  <c r="J8" i="5"/>
  <c r="L8" i="5"/>
  <c r="L9" i="5" s="1"/>
  <c r="H7" i="7"/>
  <c r="H8" i="7" s="1"/>
  <c r="L7" i="7"/>
  <c r="N7" i="7" s="1"/>
  <c r="L29" i="7"/>
  <c r="L9" i="7"/>
  <c r="N9" i="7" s="1"/>
  <c r="M23" i="7"/>
  <c r="M25" i="7"/>
  <c r="M27" i="7"/>
  <c r="M29" i="7"/>
  <c r="Y10" i="7"/>
  <c r="Y11" i="7"/>
  <c r="L21" i="7"/>
  <c r="S21" i="7" s="1"/>
  <c r="Y5" i="7"/>
  <c r="L22" i="7"/>
  <c r="N22" i="7" s="1"/>
  <c r="Y7" i="7"/>
  <c r="H11" i="7"/>
  <c r="L14" i="7"/>
  <c r="N14" i="7" s="1"/>
  <c r="M22" i="7"/>
  <c r="L24" i="7"/>
  <c r="L26" i="7"/>
  <c r="Y8" i="7"/>
  <c r="L10" i="7"/>
  <c r="N10" i="7" s="1"/>
  <c r="L11" i="7"/>
  <c r="N11" i="7" s="1"/>
  <c r="L12" i="7"/>
  <c r="N12" i="7" s="1"/>
  <c r="M24" i="7"/>
  <c r="M26" i="7"/>
  <c r="O27" i="7" l="1"/>
  <c r="P27" i="7" s="1"/>
  <c r="Q27" i="7" s="1"/>
  <c r="O10" i="7"/>
  <c r="P10" i="7"/>
  <c r="Q10" i="7" s="1"/>
  <c r="J9" i="5"/>
  <c r="J12" i="5" s="1"/>
  <c r="B10" i="7" s="1"/>
  <c r="L12" i="5"/>
  <c r="O28" i="7"/>
  <c r="P28" i="7" s="1"/>
  <c r="Q28" i="7" s="1"/>
  <c r="O22" i="7"/>
  <c r="P22" i="7" s="1"/>
  <c r="Q22" i="7" s="1"/>
  <c r="O25" i="7"/>
  <c r="P25" i="7" s="1"/>
  <c r="Q25" i="7" s="1"/>
  <c r="O23" i="7"/>
  <c r="P23" i="7" s="1"/>
  <c r="Q23" i="7" s="1"/>
  <c r="O12" i="7"/>
  <c r="P12" i="7"/>
  <c r="Q12" i="7" s="1"/>
  <c r="O11" i="7"/>
  <c r="P11" i="7"/>
  <c r="Q11" i="7" s="1"/>
  <c r="N26" i="7"/>
  <c r="N24" i="7"/>
  <c r="O9" i="7"/>
  <c r="P9" i="7" s="1"/>
  <c r="Q9" i="7" s="1"/>
  <c r="O14" i="7"/>
  <c r="P14" i="7"/>
  <c r="Q14" i="7" s="1"/>
  <c r="N29" i="7"/>
  <c r="O7" i="7"/>
  <c r="P7" i="7" s="1"/>
  <c r="Q7" i="7" s="1"/>
  <c r="V8" i="7" l="1"/>
  <c r="R29" i="7"/>
  <c r="R27" i="7"/>
  <c r="S27" i="7" s="1"/>
  <c r="R25" i="7"/>
  <c r="S25" i="7" s="1"/>
  <c r="R23" i="7"/>
  <c r="S23" i="7" s="1"/>
  <c r="R9" i="7"/>
  <c r="S9" i="7" s="1"/>
  <c r="V7" i="7"/>
  <c r="R13" i="7"/>
  <c r="S13" i="7" s="1"/>
  <c r="R8" i="7"/>
  <c r="S8" i="7" s="1"/>
  <c r="R7" i="7"/>
  <c r="S7" i="7" s="1"/>
  <c r="S15" i="7" s="1"/>
  <c r="L32" i="7" s="1"/>
  <c r="V5" i="7"/>
  <c r="S5" i="7"/>
  <c r="R5" i="7"/>
  <c r="V11" i="7"/>
  <c r="V10" i="7"/>
  <c r="R28" i="7"/>
  <c r="S28" i="7" s="1"/>
  <c r="R26" i="7"/>
  <c r="R24" i="7"/>
  <c r="S20" i="7"/>
  <c r="R12" i="7"/>
  <c r="R11" i="7"/>
  <c r="S11" i="7" s="1"/>
  <c r="R10" i="7"/>
  <c r="S10" i="7" s="1"/>
  <c r="R22" i="7"/>
  <c r="S22" i="7" s="1"/>
  <c r="R20" i="7"/>
  <c r="R14" i="7"/>
  <c r="S14" i="7" s="1"/>
  <c r="H4" i="7"/>
  <c r="G4" i="7"/>
  <c r="H15" i="7"/>
  <c r="O24" i="7"/>
  <c r="P24" i="7"/>
  <c r="Q24" i="7" s="1"/>
  <c r="O26" i="7"/>
  <c r="P26" i="7"/>
  <c r="Q26" i="7" s="1"/>
  <c r="S26" i="7" s="1"/>
  <c r="O29" i="7"/>
  <c r="P29" i="7" s="1"/>
  <c r="Q29" i="7" s="1"/>
  <c r="S29" i="7" s="1"/>
  <c r="S12" i="7"/>
  <c r="X7" i="7" l="1"/>
  <c r="V18" i="7"/>
  <c r="AA7" i="7"/>
  <c r="X10" i="7"/>
  <c r="AA10" i="7"/>
  <c r="H12" i="7"/>
  <c r="H9" i="7"/>
  <c r="H22" i="7"/>
  <c r="H5" i="7"/>
  <c r="X8" i="7"/>
  <c r="V20" i="7"/>
  <c r="AA8" i="7"/>
  <c r="S24" i="7"/>
  <c r="S30" i="7" s="1"/>
  <c r="L33" i="7" s="1"/>
  <c r="X11" i="7"/>
  <c r="AA11" i="7"/>
  <c r="V19" i="7"/>
  <c r="X5" i="7"/>
  <c r="AA5" i="7"/>
  <c r="AD8" i="7" l="1"/>
  <c r="W20" i="7" s="1"/>
  <c r="Z8" i="7"/>
  <c r="AB8" i="7"/>
  <c r="AC8" i="7" s="1"/>
  <c r="X20" i="7" s="1"/>
  <c r="AB10" i="7"/>
  <c r="Z10" i="7"/>
  <c r="AD10" i="7"/>
  <c r="AC18" i="7" s="1"/>
  <c r="Z5" i="7"/>
  <c r="AB5" i="7"/>
  <c r="AC5" i="7" s="1"/>
  <c r="AD5" i="7"/>
  <c r="Z7" i="7"/>
  <c r="AB7" i="7"/>
  <c r="AC7" i="7" s="1"/>
  <c r="X18" i="7" s="1"/>
  <c r="AD7" i="7"/>
  <c r="W18" i="7" s="1"/>
  <c r="AD11" i="7"/>
  <c r="AC20" i="7" s="1"/>
  <c r="AB11" i="7"/>
  <c r="Z11" i="7"/>
  <c r="H23" i="7"/>
  <c r="H17" i="7"/>
  <c r="AC11" i="7" l="1"/>
  <c r="AD20" i="7" s="1"/>
  <c r="X19" i="7"/>
  <c r="AD19" i="7"/>
  <c r="AC19" i="7"/>
  <c r="W19" i="7"/>
  <c r="AC10" i="7"/>
  <c r="AD18" i="7" s="1"/>
</calcChain>
</file>

<file path=xl/sharedStrings.xml><?xml version="1.0" encoding="utf-8"?>
<sst xmlns="http://schemas.openxmlformats.org/spreadsheetml/2006/main" count="361" uniqueCount="253">
  <si>
    <t>FINANCIAL MANAGEMENT ECON F315 FIN F315</t>
  </si>
  <si>
    <t>Group Number</t>
  </si>
  <si>
    <t>Company Name</t>
  </si>
  <si>
    <t>Tech Mahindra</t>
  </si>
  <si>
    <t>INDEX</t>
  </si>
  <si>
    <t>Group Members</t>
  </si>
  <si>
    <t>Sheet Number</t>
  </si>
  <si>
    <t>Sheet Name</t>
  </si>
  <si>
    <t>Description</t>
  </si>
  <si>
    <t>Name</t>
  </si>
  <si>
    <t>ID</t>
  </si>
  <si>
    <t>Front page</t>
  </si>
  <si>
    <t>Contributions</t>
  </si>
  <si>
    <t>AMAN TOMY</t>
  </si>
  <si>
    <t>2023A4PS1174G</t>
  </si>
  <si>
    <t>Cost of equity</t>
  </si>
  <si>
    <t>Finding the cost of equity using CAPM &amp; DDM , Justifying why CAPM is better in our companies case</t>
  </si>
  <si>
    <t>GRACE PAUL</t>
  </si>
  <si>
    <t>2023A4PS0277G</t>
  </si>
  <si>
    <t>Cost of debt</t>
  </si>
  <si>
    <t>Finding Cost of Debt using Total Interest expenses/Total Borrowings (1-tax rate)</t>
  </si>
  <si>
    <t>JATIN SINGH</t>
  </si>
  <si>
    <t>2023A4PS0286G</t>
  </si>
  <si>
    <t>PART-A answer</t>
  </si>
  <si>
    <t>Final WACC calculations using equity and debt weights</t>
  </si>
  <si>
    <t>LIKHIT SRIVASTAVA</t>
  </si>
  <si>
    <t>2023A4PS0259G</t>
  </si>
  <si>
    <t>PART-B answer</t>
  </si>
  <si>
    <t>Computing the theoretical ex-rights, value of one right and percentage price drop</t>
  </si>
  <si>
    <t>NEEL NIRAJ UDAIPURIA</t>
  </si>
  <si>
    <t>2023A4PS0269G</t>
  </si>
  <si>
    <t>PART-C answer</t>
  </si>
  <si>
    <t>Computing PV/NPV of leasing vs Ownership to determine which is cheaper and optimal , Sensitivity analysis</t>
  </si>
  <si>
    <t>PREM CHANDRESH</t>
  </si>
  <si>
    <t>2023A4PS0279G</t>
  </si>
  <si>
    <t>S ANANTHA KRISHNAN</t>
  </si>
  <si>
    <t>2023A1PS1207G</t>
  </si>
  <si>
    <t>SATYA PRAKASH PURRE</t>
  </si>
  <si>
    <t>2023A1PS1193G</t>
  </si>
  <si>
    <t>VAISHNAVI YUVARAJ POTEKAR</t>
  </si>
  <si>
    <t>2023A7PS0488G</t>
  </si>
  <si>
    <t>VEDANT GIRISH PATIL</t>
  </si>
  <si>
    <t>2023A4PS0305G</t>
  </si>
  <si>
    <t xml:space="preserve">(Note) : </t>
  </si>
  <si>
    <t>Everyone contributed their equal share and also re-verified everyone elses values to correct any mistakes</t>
  </si>
  <si>
    <t>Everyone is thorough with the entire procedure of the assignment</t>
  </si>
  <si>
    <t>INCOME STATEMENT</t>
  </si>
  <si>
    <t>Particulars</t>
  </si>
  <si>
    <t>FY 2024-25</t>
  </si>
  <si>
    <t>FY 2023-24</t>
  </si>
  <si>
    <t>FY 2022-23</t>
  </si>
  <si>
    <t>FY 2021-22</t>
  </si>
  <si>
    <t>FY 2020-21</t>
  </si>
  <si>
    <t>Revenue from Operations</t>
  </si>
  <si>
    <t>Other Income</t>
  </si>
  <si>
    <t>Total Income</t>
  </si>
  <si>
    <t>Expenses</t>
  </si>
  <si>
    <t>Employee Benefits Expense</t>
  </si>
  <si>
    <t>Subcontracting Expenses</t>
  </si>
  <si>
    <t>Finance Costs</t>
  </si>
  <si>
    <t>Depreciation &amp; Amortisation</t>
  </si>
  <si>
    <t>Other Expenses</t>
  </si>
  <si>
    <t>Impairment of Goodwill/Assets</t>
  </si>
  <si>
    <t>-</t>
  </si>
  <si>
    <t>Total Expenses</t>
  </si>
  <si>
    <t>Share in Profit/(Loss) of Associates</t>
  </si>
  <si>
    <t>Profit Before Tax (PBT)</t>
  </si>
  <si>
    <t>Tax Expense</t>
  </si>
  <si>
    <t>Profit After Tax (PAT)</t>
  </si>
  <si>
    <t>Diluted EPS (INR)</t>
  </si>
  <si>
    <t>BALANCE SHEET</t>
  </si>
  <si>
    <t>ASSETS</t>
  </si>
  <si>
    <t>Non-Current Assets</t>
  </si>
  <si>
    <t>Property, Plant &amp; Equipment</t>
  </si>
  <si>
    <t>Right-of-Use Asset</t>
  </si>
  <si>
    <t>Goodwill</t>
  </si>
  <si>
    <t>Other Intangible Assets</t>
  </si>
  <si>
    <t>Investments</t>
  </si>
  <si>
    <t>Other Fin. &amp; Non-Current Assets</t>
  </si>
  <si>
    <t>Total Non-Current Assets</t>
  </si>
  <si>
    <t>Current Assets</t>
  </si>
  <si>
    <t>Trade Receivables</t>
  </si>
  <si>
    <t>Cash &amp; Cash Equivalents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</si>
  <si>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</si>
  <si>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</si>
  <si>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</si>
  <si>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</si>
  <si>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</si>
  <si>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</si>
  <si>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 (Reserves)</t>
  </si>
  <si>
    <t>Non-Controlling Interest</t>
  </si>
  <si>
    <t>Total Equity</t>
  </si>
  <si>
    <t>Liabilities</t>
  </si>
  <si>
    <t>Non-Current Liabilities</t>
  </si>
  <si>
    <t>Borrowings &amp; Lease Liab.</t>
  </si>
  <si>
    <t>Other Non-Current Liab.</t>
  </si>
  <si>
    <t>Total Non-Current Liabilities</t>
  </si>
  <si>
    <t>Current Liabilities</t>
  </si>
  <si>
    <t>Trade Payables</t>
  </si>
  <si>
    <t>Other Current Liabilities</t>
  </si>
  <si>
    <t>Total Current Liabilities</t>
  </si>
  <si>
    <t>TOTAL EQUITY &amp; LIABILITIES</t>
  </si>
  <si>
    <t>CAPM MODEL</t>
  </si>
  <si>
    <t>DDM MODEL</t>
  </si>
  <si>
    <t>F.Y</t>
  </si>
  <si>
    <t>2020-21</t>
  </si>
  <si>
    <t>2021-22</t>
  </si>
  <si>
    <t>2022-23</t>
  </si>
  <si>
    <t>2023-24</t>
  </si>
  <si>
    <t>2024-25</t>
  </si>
  <si>
    <t>Rm 
(Market Return during that year)</t>
  </si>
  <si>
    <t>Interim Dividends</t>
  </si>
  <si>
    <t>RFR
(risk free rate)</t>
  </si>
  <si>
    <t>Final Dividends</t>
  </si>
  <si>
    <t>Risk Premium</t>
  </si>
  <si>
    <t>Special Dividends</t>
  </si>
  <si>
    <t xml:space="preserve">Beta </t>
  </si>
  <si>
    <t>Total Dividends (D0)</t>
  </si>
  <si>
    <t>Ke</t>
  </si>
  <si>
    <t>Closing Price (P0)</t>
  </si>
  <si>
    <t>Retention Ratio</t>
  </si>
  <si>
    <t>- The risk-free rate was calculated using the 10-year bond yield of India 
- Beta was estimated by regression. ( Regression of Stock returns vs Market Returns, slope of the line is Beta)
( ALL historical data series are attached below)</t>
  </si>
  <si>
    <t>Return on Equity</t>
  </si>
  <si>
    <t>Growth Rate (g)</t>
  </si>
  <si>
    <t>Expected Dividend (D1)</t>
  </si>
  <si>
    <t>Dividend Yield</t>
  </si>
  <si>
    <t>Cost of Equity (Ke)</t>
  </si>
  <si>
    <t>Sources</t>
  </si>
  <si>
    <t xml:space="preserve">10 Year Bond Yield Rate </t>
  </si>
  <si>
    <t>Tech Mahindra Closing Prices</t>
  </si>
  <si>
    <t>Tech Mahindra HIstorical prices</t>
  </si>
  <si>
    <t>Key Financial Ratios</t>
  </si>
  <si>
    <t>Adjusted default spread</t>
  </si>
  <si>
    <t>Dividends</t>
  </si>
  <si>
    <t>NIFTY 50 TRI prices</t>
  </si>
  <si>
    <t>Tech-M Annual Reports</t>
  </si>
  <si>
    <r>
      <rPr>
        <sz val="14"/>
        <color rgb="FF000000"/>
        <rFont val="Times New Roman"/>
        <family val="1"/>
      </rPr>
      <t xml:space="preserve">We calculated the cost of equity using both CAPM and the DDM.
However, the DDM gave highly inconsistent results because the company’s dividends do not grow consistently. 
Therefore, the </t>
    </r>
    <r>
      <rPr>
        <b/>
        <sz val="14"/>
        <color rgb="FF000000"/>
        <rFont val="Times New Roman"/>
        <family val="1"/>
      </rPr>
      <t>CAPM MODEL is more reliable in this case</t>
    </r>
    <r>
      <rPr>
        <sz val="14"/>
        <color rgb="FF000000"/>
        <rFont val="Times New Roman"/>
        <family val="1"/>
      </rPr>
      <t>, since it is based on market-driven risk measures rather than unstable dividend patterns.</t>
    </r>
  </si>
  <si>
    <t xml:space="preserve">India 10 year bond yield </t>
  </si>
  <si>
    <t xml:space="preserve">RFR </t>
  </si>
  <si>
    <t>LAST 5 YEARS DAILY RETURNS OF TECH MAHINDRA VS LAST 5 YEARS DAILY MARKET(NIFTY 50) RETURNS , REGRESSION TO OBTAIN BETA OF THE FIRM</t>
  </si>
  <si>
    <t>India 10 year bond yield</t>
  </si>
  <si>
    <t>Date</t>
  </si>
  <si>
    <t>Close</t>
  </si>
  <si>
    <t>Tech_M</t>
  </si>
  <si>
    <t>Price</t>
  </si>
  <si>
    <t>TECH_R</t>
  </si>
  <si>
    <t>NIFTY_R</t>
  </si>
  <si>
    <t>Note : Sources' links are embedded in the text</t>
  </si>
  <si>
    <t>In million Rs</t>
  </si>
  <si>
    <t>Interest Expense</t>
  </si>
  <si>
    <t>Short-term borrowings</t>
  </si>
  <si>
    <t>Long-term borrowings</t>
  </si>
  <si>
    <t>Total Borrowings</t>
  </si>
  <si>
    <t xml:space="preserve">Pre-tax Cost of Debt </t>
  </si>
  <si>
    <t>Income Tax expense</t>
  </si>
  <si>
    <t>Income Before Tax</t>
  </si>
  <si>
    <t>Effective Tax Rate</t>
  </si>
  <si>
    <t>Post-tax Cost of Debt (Kd)</t>
  </si>
  <si>
    <t>in millions</t>
  </si>
  <si>
    <t>No. of outstanding shares</t>
  </si>
  <si>
    <t>884,758,083</t>
  </si>
  <si>
    <t>882,522,894</t>
  </si>
  <si>
    <t>879,911,846</t>
  </si>
  <si>
    <t>873,959,406</t>
  </si>
  <si>
    <t>Market Price (last trading day of FY)</t>
  </si>
  <si>
    <t>E</t>
  </si>
  <si>
    <t xml:space="preserve">D </t>
  </si>
  <si>
    <t xml:space="preserve">V (D+E) </t>
  </si>
  <si>
    <t>Kd</t>
  </si>
  <si>
    <t>WACC</t>
  </si>
  <si>
    <t xml:space="preserve">Cost of Equity Calculations - CAPM </t>
  </si>
  <si>
    <t>Cost of Debt Calculations - Total Interest expenses/Total Borrowings</t>
  </si>
  <si>
    <t>This Graph tells us how WACC is changing over years</t>
  </si>
  <si>
    <t>This graphs tells us how proportion of Ke, Kd and WACC is changing over years</t>
  </si>
  <si>
    <t xml:space="preserve">a) </t>
  </si>
  <si>
    <t>Theoretical ex-Rights price (TERP):</t>
  </si>
  <si>
    <t>(NP + S) / (N +1)</t>
  </si>
  <si>
    <t>Here,</t>
  </si>
  <si>
    <t xml:space="preserve">N = number of existing shares required for a rights share
</t>
  </si>
  <si>
    <t>P = Cum-rights (Current) Market Price per share</t>
  </si>
  <si>
    <t>S = subscription price at which the rights shares are issued = Price x (1 - Discount rate for existing shareholders)</t>
  </si>
  <si>
    <t>From Question:</t>
  </si>
  <si>
    <t xml:space="preserve">N = </t>
  </si>
  <si>
    <t xml:space="preserve">P = Rs </t>
  </si>
  <si>
    <t>Value taken from Yahoo Finance for the closing price on 18/11/2025</t>
  </si>
  <si>
    <t>S = P x (1 - Discount) = P x (1- 0.1) = 0.9 x P</t>
  </si>
  <si>
    <t xml:space="preserve">So, </t>
  </si>
  <si>
    <t>TERP = Rs</t>
  </si>
  <si>
    <t xml:space="preserve">Sources used : </t>
  </si>
  <si>
    <t>1) All the formulas used have been taken directly from Uploaded Slides and Prasanna Chanda TB</t>
  </si>
  <si>
    <t>Value of One Right:</t>
  </si>
  <si>
    <t>(P - S) / ( N + 1)</t>
  </si>
  <si>
    <r>
      <rPr>
        <sz val="12"/>
        <color theme="1"/>
        <rFont val="Times New Roman"/>
        <family val="1"/>
      </rPr>
      <t xml:space="preserve">2) The current market price was taken as the closing price on 18/11/2025 from </t>
    </r>
    <r>
      <rPr>
        <sz val="12"/>
        <color rgb="FF000000"/>
        <rFont val="Times New Roman"/>
        <family val="1"/>
      </rPr>
      <t>Yahoo Finance</t>
    </r>
  </si>
  <si>
    <r>
      <rPr>
        <sz val="12"/>
        <rFont val="Times New Roman"/>
        <family val="1"/>
      </rPr>
      <t xml:space="preserve">The link to the page: </t>
    </r>
    <r>
      <rPr>
        <u/>
        <sz val="12"/>
        <color rgb="FF1155CC"/>
        <rFont val="Times New Roman"/>
        <family val="1"/>
      </rPr>
      <t>https://finance.yahoo.com/quote/TECHM.NS/history/</t>
    </r>
  </si>
  <si>
    <t>Value of One Right = Rs</t>
  </si>
  <si>
    <t>Now,</t>
  </si>
  <si>
    <t>Percentage Price Drop:</t>
  </si>
  <si>
    <t>(P - TERP) / P</t>
  </si>
  <si>
    <t>In terms of %</t>
  </si>
  <si>
    <t xml:space="preserve">b) </t>
  </si>
  <si>
    <t>When a company conducts a rights issue, the share price tends to drop. This happens because the company issues new shares at a discounted subscription price, which ultimately lowers the weighted-average value per share. This process creates dilution; if you start with N existing shares, you end up with N+1 shares, leading to a decrease in the market value per share. Moreover, a portion of the original share’s value gets transferred into the tradeable right itself, aiming to offset the price decrease for shareholders. In essence, as outlined in the rights-issue framework, shareholder wealth stays unchanged only if the market price adjusts accurately to reflect the theoretical value post-rights issue.</t>
  </si>
  <si>
    <t>Answer</t>
  </si>
  <si>
    <t>Sensitivity Analysis</t>
  </si>
  <si>
    <t>Amount</t>
  </si>
  <si>
    <t>a)</t>
  </si>
  <si>
    <t>After-tax lease</t>
  </si>
  <si>
    <t>b)</t>
  </si>
  <si>
    <t>Calculation of NPV of Lease</t>
  </si>
  <si>
    <t>c)</t>
  </si>
  <si>
    <t>Equipment Cost</t>
  </si>
  <si>
    <t>Useful Life</t>
  </si>
  <si>
    <t>PVAF</t>
  </si>
  <si>
    <t>Depreciation</t>
  </si>
  <si>
    <t>PV of Tax Shield</t>
  </si>
  <si>
    <t>PV of Salvage</t>
  </si>
  <si>
    <t>PV of Maintanence</t>
  </si>
  <si>
    <t>PV of Ownership</t>
  </si>
  <si>
    <t>PV of Lease</t>
  </si>
  <si>
    <t>Useful Life (n)</t>
  </si>
  <si>
    <t>PV of lease</t>
  </si>
  <si>
    <t>Year</t>
  </si>
  <si>
    <t>CFBTD</t>
  </si>
  <si>
    <t>Dep.</t>
  </si>
  <si>
    <t>CFADBT</t>
  </si>
  <si>
    <t>CFAT</t>
  </si>
  <si>
    <t>CFATBD</t>
  </si>
  <si>
    <t>Salvage Value</t>
  </si>
  <si>
    <t>Calculation of Sensitivity to Change in Cost of Capital</t>
  </si>
  <si>
    <t>Annual lease payment</t>
  </si>
  <si>
    <t>Maintenance (if owned)</t>
  </si>
  <si>
    <t>Tax-shield on depreciation</t>
  </si>
  <si>
    <t>Current Tax rate</t>
  </si>
  <si>
    <t>PV of tax-shield</t>
  </si>
  <si>
    <t>Calculation of Sensitivity to Change in Useful Life</t>
  </si>
  <si>
    <t>Discount rate (WACC)</t>
  </si>
  <si>
    <t>After-tax maintenance cost</t>
  </si>
  <si>
    <t>PV of maintenance</t>
  </si>
  <si>
    <t>After-tax salvage</t>
  </si>
  <si>
    <t>PV of salvage</t>
  </si>
  <si>
    <t>(Equipment cost+PV of maintainance - PV of Tax-shield - PV of  Salvage)</t>
  </si>
  <si>
    <t>Calculation of NPV of Ownership</t>
  </si>
  <si>
    <t>6 years</t>
  </si>
  <si>
    <t>CFBTD + Dep</t>
  </si>
  <si>
    <t>CFADBT * Tax rate</t>
  </si>
  <si>
    <t>CFADBT +  Tax saving</t>
  </si>
  <si>
    <t>CFAT + Dep</t>
  </si>
  <si>
    <t xml:space="preserve">8 years </t>
  </si>
  <si>
    <t>10 years</t>
  </si>
  <si>
    <t>NPV of lease</t>
  </si>
  <si>
    <t xml:space="preserve">NPV of Ownership </t>
  </si>
  <si>
    <t>Since NPV of Leasing is greater we will choose to Lease the product</t>
  </si>
  <si>
    <t>`</t>
  </si>
  <si>
    <t>This table is used from the given excel of Capital Budgeting uploaded on Quantaaws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</si>
</sst>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mm/dd/yyyy"/>
    <numFmt numFmtId="165" formatCode="mm\-dd\-yyyy"/>
    <numFmt numFmtId="166" formatCode="m/d/yyyy"/>
    <numFmt numFmtId="167" formatCode="m\-d\-yyyy"/>
    <numFmt numFmtId="168" formatCode="#,##0.0000000"/>
  </numFmts>
  <fonts count="35">
    <font>
      <sz val="10"/>
      <color rgb="FF000000"/>
      <name val="Arial"/>
      <scheme val="minor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u/>
      <sz val="10"/>
      <color theme="1"/>
      <name val="Arial"/>
      <family val="2"/>
      <scheme val="minor"/>
    </font>
    <font>
      <sz val="10"/>
      <color theme="1"/>
      <name val="&quot;Google Sans Text&quot;"/>
    </font>
    <font>
      <b/>
      <sz val="10"/>
      <color rgb="FF1B1C1D"/>
      <name val="&quot;Google Sans Text&quot;"/>
    </font>
    <font>
      <sz val="10"/>
      <color rgb="FF1B1C1D"/>
      <name val="&quot;Google Sans Text&quot;"/>
    </font>
    <font>
      <b/>
      <u/>
      <sz val="10"/>
      <color theme="1"/>
      <name val="Arial"/>
      <family val="2"/>
      <scheme val="minor"/>
    </font>
    <font>
      <i/>
      <sz val="10"/>
      <color rgb="FF1B1C1D"/>
      <name val="&quot;Google Sans Text&quot;"/>
    </font>
    <font>
      <sz val="10"/>
      <color rgb="FF000000"/>
      <name val="Times New Roman"/>
      <family val="1"/>
    </font>
    <font>
      <sz val="10"/>
      <name val="Arial"/>
      <family val="2"/>
    </font>
    <font>
      <sz val="8"/>
      <color rgb="FF333333"/>
      <name val="Times New Roman"/>
      <family val="1"/>
    </font>
    <font>
      <u/>
      <sz val="12"/>
      <color rgb="FF0000FF"/>
      <name val="Times New Roman"/>
      <family val="1"/>
    </font>
    <font>
      <u/>
      <sz val="12"/>
      <color rgb="FF0000FF"/>
      <name val="Times New Roman"/>
      <family val="1"/>
    </font>
    <font>
      <u/>
      <sz val="12"/>
      <color rgb="FF8B8948"/>
      <name val="Times New Roman"/>
      <family val="1"/>
    </font>
    <font>
      <u/>
      <sz val="12"/>
      <color rgb="FF0000FF"/>
      <name val="Times New Roman"/>
      <family val="1"/>
    </font>
    <font>
      <u/>
      <sz val="12"/>
      <color rgb="FF8B8948"/>
      <name val="Times New Roman"/>
      <family val="1"/>
    </font>
    <font>
      <u/>
      <sz val="10"/>
      <color rgb="FF8B8948"/>
      <name val="Georgia"/>
      <family val="1"/>
    </font>
    <font>
      <sz val="10"/>
      <color theme="1"/>
      <name val="Arial"/>
      <family val="2"/>
      <scheme val="minor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  <font>
      <u/>
      <sz val="12"/>
      <color theme="9"/>
      <name val="Times New Roman"/>
      <family val="1"/>
    </font>
    <font>
      <u/>
      <sz val="12"/>
      <color theme="9"/>
      <name val="Times New Roman"/>
      <family val="1"/>
    </font>
    <font>
      <sz val="12"/>
      <color rgb="FF232A3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u/>
      <sz val="12"/>
      <color rgb="FF0000FF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2"/>
      <name val="Times New Roman"/>
      <family val="1"/>
    </font>
    <font>
      <u/>
      <sz val="12"/>
      <color rgb="FF1155CC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</fills>
  <borders count="2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E0E0E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/>
    <xf numFmtId="0" fontId="1" fillId="0" borderId="0" xfId="0" applyFont="1"/>
    <xf numFmtId="0" fontId="1" fillId="0" borderId="6" xfId="0" applyFont="1" applyBorder="1" applyAlignment="1">
      <alignment horizontal="center"/>
    </xf>
    <xf numFmtId="10" fontId="1" fillId="0" borderId="6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right"/>
    </xf>
    <xf numFmtId="0" fontId="1" fillId="4" borderId="6" xfId="0" applyFont="1" applyFill="1" applyBorder="1" applyAlignment="1">
      <alignment horizontal="center"/>
    </xf>
    <xf numFmtId="10" fontId="1" fillId="4" borderId="6" xfId="0" applyNumberFormat="1" applyFont="1" applyFill="1" applyBorder="1" applyAlignment="1">
      <alignment horizontal="center"/>
    </xf>
    <xf numFmtId="0" fontId="1" fillId="5" borderId="0" xfId="0" applyFont="1" applyFill="1"/>
    <xf numFmtId="0" fontId="13" fillId="0" borderId="7" xfId="0" applyFont="1" applyBorder="1" applyAlignment="1">
      <alignment horizontal="right" vertical="top"/>
    </xf>
    <xf numFmtId="9" fontId="1" fillId="0" borderId="6" xfId="0" applyNumberFormat="1" applyFont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0" fontId="13" fillId="2" borderId="0" xfId="0" applyFont="1" applyFill="1"/>
    <xf numFmtId="0" fontId="1" fillId="0" borderId="8" xfId="0" applyFont="1" applyBorder="1"/>
    <xf numFmtId="0" fontId="1" fillId="0" borderId="9" xfId="0" applyFont="1" applyBorder="1"/>
    <xf numFmtId="0" fontId="11" fillId="0" borderId="2" xfId="0" applyFont="1" applyBorder="1"/>
    <xf numFmtId="0" fontId="14" fillId="0" borderId="10" xfId="0" applyFont="1" applyBorder="1"/>
    <xf numFmtId="0" fontId="15" fillId="0" borderId="11" xfId="0" applyFont="1" applyBorder="1"/>
    <xf numFmtId="0" fontId="11" fillId="0" borderId="12" xfId="0" applyFont="1" applyBorder="1"/>
    <xf numFmtId="0" fontId="16" fillId="0" borderId="10" xfId="0" applyFont="1" applyBorder="1"/>
    <xf numFmtId="0" fontId="17" fillId="0" borderId="13" xfId="0" applyFont="1" applyBorder="1"/>
    <xf numFmtId="0" fontId="11" fillId="0" borderId="14" xfId="0" applyFont="1" applyBorder="1"/>
    <xf numFmtId="0" fontId="18" fillId="0" borderId="15" xfId="0" applyFont="1" applyBorder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" fillId="2" borderId="0" xfId="0" applyFont="1" applyFill="1"/>
    <xf numFmtId="0" fontId="1" fillId="3" borderId="6" xfId="0" applyFont="1" applyFill="1" applyBorder="1" applyAlignment="1">
      <alignment horizontal="center"/>
    </xf>
    <xf numFmtId="10" fontId="1" fillId="3" borderId="6" xfId="0" applyNumberFormat="1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2" fillId="0" borderId="0" xfId="0" applyFont="1"/>
    <xf numFmtId="164" fontId="22" fillId="0" borderId="0" xfId="0" applyNumberFormat="1" applyFont="1"/>
    <xf numFmtId="10" fontId="22" fillId="0" borderId="0" xfId="0" applyNumberFormat="1" applyFont="1" applyAlignment="1">
      <alignment horizontal="right"/>
    </xf>
    <xf numFmtId="0" fontId="22" fillId="0" borderId="0" xfId="0" applyFont="1" applyAlignment="1">
      <alignment horizontal="right"/>
    </xf>
    <xf numFmtId="4" fontId="22" fillId="0" borderId="0" xfId="0" applyNumberFormat="1" applyFont="1" applyAlignment="1">
      <alignment horizontal="right"/>
    </xf>
    <xf numFmtId="165" fontId="22" fillId="0" borderId="0" xfId="0" applyNumberFormat="1" applyFont="1" applyAlignment="1">
      <alignment horizontal="right"/>
    </xf>
    <xf numFmtId="164" fontId="22" fillId="0" borderId="0" xfId="0" applyNumberFormat="1" applyFont="1" applyAlignment="1">
      <alignment horizontal="right"/>
    </xf>
    <xf numFmtId="166" fontId="22" fillId="0" borderId="0" xfId="0" applyNumberFormat="1" applyFont="1"/>
    <xf numFmtId="165" fontId="22" fillId="0" borderId="0" xfId="0" applyNumberFormat="1" applyFont="1"/>
    <xf numFmtId="167" fontId="22" fillId="0" borderId="0" xfId="0" applyNumberFormat="1" applyFont="1" applyAlignment="1">
      <alignment horizontal="right"/>
    </xf>
    <xf numFmtId="166" fontId="22" fillId="0" borderId="0" xfId="0" applyNumberFormat="1" applyFont="1" applyAlignment="1">
      <alignment horizontal="right"/>
    </xf>
    <xf numFmtId="0" fontId="4" fillId="0" borderId="0" xfId="0" applyFont="1"/>
    <xf numFmtId="0" fontId="23" fillId="0" borderId="0" xfId="0" applyFont="1"/>
    <xf numFmtId="10" fontId="1" fillId="0" borderId="0" xfId="0" applyNumberFormat="1" applyFont="1"/>
    <xf numFmtId="0" fontId="3" fillId="0" borderId="0" xfId="0" applyFont="1"/>
    <xf numFmtId="0" fontId="24" fillId="0" borderId="1" xfId="0" applyFont="1" applyBorder="1"/>
    <xf numFmtId="0" fontId="25" fillId="0" borderId="2" xfId="0" applyFont="1" applyBorder="1"/>
    <xf numFmtId="0" fontId="3" fillId="0" borderId="11" xfId="0" applyFont="1" applyBorder="1" applyAlignment="1">
      <alignment horizontal="center"/>
    </xf>
    <xf numFmtId="1" fontId="1" fillId="0" borderId="0" xfId="0" applyNumberFormat="1" applyFont="1"/>
    <xf numFmtId="0" fontId="1" fillId="0" borderId="12" xfId="0" applyFont="1" applyBorder="1"/>
    <xf numFmtId="3" fontId="26" fillId="2" borderId="0" xfId="0" applyNumberFormat="1" applyFont="1" applyFill="1"/>
    <xf numFmtId="3" fontId="1" fillId="0" borderId="0" xfId="0" applyNumberFormat="1" applyFont="1"/>
    <xf numFmtId="3" fontId="4" fillId="0" borderId="0" xfId="0" applyNumberFormat="1" applyFont="1"/>
    <xf numFmtId="3" fontId="1" fillId="0" borderId="12" xfId="0" applyNumberFormat="1" applyFont="1" applyBorder="1"/>
    <xf numFmtId="0" fontId="3" fillId="0" borderId="11" xfId="0" applyFont="1" applyBorder="1" applyAlignment="1">
      <alignment horizontal="center" vertical="center"/>
    </xf>
    <xf numFmtId="10" fontId="1" fillId="0" borderId="12" xfId="0" applyNumberFormat="1" applyFont="1" applyBorder="1"/>
    <xf numFmtId="168" fontId="4" fillId="0" borderId="0" xfId="0" applyNumberFormat="1" applyFont="1"/>
    <xf numFmtId="3" fontId="1" fillId="2" borderId="0" xfId="0" applyNumberFormat="1" applyFont="1" applyFill="1"/>
    <xf numFmtId="0" fontId="3" fillId="2" borderId="11" xfId="0" applyFont="1" applyFill="1" applyBorder="1" applyAlignment="1">
      <alignment horizontal="center"/>
    </xf>
    <xf numFmtId="10" fontId="1" fillId="2" borderId="0" xfId="0" applyNumberFormat="1" applyFont="1" applyFill="1"/>
    <xf numFmtId="10" fontId="1" fillId="2" borderId="12" xfId="0" applyNumberFormat="1" applyFont="1" applyFill="1" applyBorder="1"/>
    <xf numFmtId="10" fontId="4" fillId="0" borderId="0" xfId="0" applyNumberFormat="1" applyFont="1"/>
    <xf numFmtId="0" fontId="3" fillId="4" borderId="13" xfId="0" applyFont="1" applyFill="1" applyBorder="1" applyAlignment="1">
      <alignment horizontal="center"/>
    </xf>
    <xf numFmtId="10" fontId="1" fillId="4" borderId="16" xfId="0" applyNumberFormat="1" applyFont="1" applyFill="1" applyBorder="1"/>
    <xf numFmtId="10" fontId="1" fillId="4" borderId="14" xfId="0" applyNumberFormat="1" applyFont="1" applyFill="1" applyBorder="1"/>
    <xf numFmtId="0" fontId="1" fillId="0" borderId="17" xfId="0" applyFont="1" applyBorder="1"/>
    <xf numFmtId="0" fontId="1" fillId="0" borderId="18" xfId="0" applyFont="1" applyBorder="1"/>
    <xf numFmtId="49" fontId="1" fillId="0" borderId="0" xfId="0" applyNumberFormat="1" applyFont="1"/>
    <xf numFmtId="49" fontId="1" fillId="0" borderId="12" xfId="0" applyNumberFormat="1" applyFont="1" applyBorder="1"/>
    <xf numFmtId="0" fontId="1" fillId="4" borderId="17" xfId="0" applyFont="1" applyFill="1" applyBorder="1"/>
    <xf numFmtId="10" fontId="1" fillId="4" borderId="17" xfId="0" applyNumberFormat="1" applyFont="1" applyFill="1" applyBorder="1"/>
    <xf numFmtId="10" fontId="1" fillId="4" borderId="18" xfId="0" applyNumberFormat="1" applyFont="1" applyFill="1" applyBorder="1"/>
    <xf numFmtId="0" fontId="1" fillId="4" borderId="0" xfId="0" applyFont="1" applyFill="1"/>
    <xf numFmtId="10" fontId="1" fillId="4" borderId="0" xfId="0" applyNumberFormat="1" applyFont="1" applyFill="1"/>
    <xf numFmtId="0" fontId="28" fillId="0" borderId="0" xfId="0" applyFont="1"/>
    <xf numFmtId="0" fontId="28" fillId="0" borderId="3" xfId="0" applyFont="1" applyBorder="1"/>
    <xf numFmtId="0" fontId="28" fillId="0" borderId="5" xfId="0" applyFont="1" applyBorder="1"/>
    <xf numFmtId="0" fontId="29" fillId="0" borderId="0" xfId="0" applyFont="1"/>
    <xf numFmtId="0" fontId="23" fillId="0" borderId="0" xfId="0" applyFont="1" applyAlignment="1">
      <alignment horizontal="center"/>
    </xf>
    <xf numFmtId="0" fontId="3" fillId="2" borderId="6" xfId="0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19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0" fontId="1" fillId="0" borderId="19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4" fontId="20" fillId="0" borderId="0" xfId="0" applyNumberFormat="1" applyFont="1"/>
    <xf numFmtId="10" fontId="3" fillId="0" borderId="6" xfId="0" applyNumberFormat="1" applyFont="1" applyBorder="1" applyAlignment="1">
      <alignment horizontal="center" vertical="top"/>
    </xf>
    <xf numFmtId="10" fontId="1" fillId="0" borderId="0" xfId="0" applyNumberFormat="1" applyFont="1" applyAlignment="1">
      <alignment horizontal="center"/>
    </xf>
    <xf numFmtId="0" fontId="28" fillId="0" borderId="6" xfId="0" applyFont="1" applyBorder="1" applyAlignment="1">
      <alignment horizontal="center"/>
    </xf>
    <xf numFmtId="10" fontId="4" fillId="0" borderId="6" xfId="0" applyNumberFormat="1" applyFont="1" applyBorder="1" applyAlignment="1">
      <alignment horizontal="center"/>
    </xf>
    <xf numFmtId="4" fontId="4" fillId="0" borderId="6" xfId="0" applyNumberFormat="1" applyFont="1" applyBorder="1" applyAlignment="1">
      <alignment horizontal="center"/>
    </xf>
    <xf numFmtId="4" fontId="4" fillId="0" borderId="0" xfId="0" applyNumberFormat="1" applyFont="1"/>
    <xf numFmtId="0" fontId="4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11" fillId="0" borderId="0" xfId="0" applyFont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2" fillId="0" borderId="4" xfId="0" applyFont="1" applyBorder="1"/>
    <xf numFmtId="0" fontId="12" fillId="0" borderId="5" xfId="0" applyFont="1" applyBorder="1"/>
    <xf numFmtId="0" fontId="3" fillId="3" borderId="1" xfId="0" applyFont="1" applyFill="1" applyBorder="1" applyAlignment="1">
      <alignment horizontal="center"/>
    </xf>
    <xf numFmtId="0" fontId="12" fillId="0" borderId="1" xfId="0" applyFont="1" applyBorder="1"/>
    <xf numFmtId="0" fontId="12" fillId="0" borderId="2" xfId="0" applyFont="1" applyBorder="1"/>
    <xf numFmtId="0" fontId="1" fillId="5" borderId="0" xfId="0" applyFont="1" applyFill="1"/>
    <xf numFmtId="0" fontId="1" fillId="4" borderId="9" xfId="0" applyFont="1" applyFill="1" applyBorder="1"/>
    <xf numFmtId="0" fontId="12" fillId="0" borderId="11" xfId="0" applyFont="1" applyBorder="1"/>
    <xf numFmtId="0" fontId="12" fillId="0" borderId="12" xfId="0" applyFont="1" applyBorder="1"/>
    <xf numFmtId="0" fontId="12" fillId="0" borderId="13" xfId="0" applyFont="1" applyBorder="1"/>
    <xf numFmtId="0" fontId="12" fillId="0" borderId="16" xfId="0" applyFont="1" applyBorder="1"/>
    <xf numFmtId="0" fontId="12" fillId="0" borderId="14" xfId="0" applyFont="1" applyBorder="1"/>
    <xf numFmtId="0" fontId="21" fillId="5" borderId="0" xfId="0" applyFont="1" applyFill="1"/>
    <xf numFmtId="0" fontId="21" fillId="5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27" fillId="5" borderId="0" xfId="0" applyFont="1" applyFill="1"/>
    <xf numFmtId="0" fontId="1" fillId="0" borderId="8" xfId="0" applyFont="1" applyBorder="1" applyAlignment="1">
      <alignment horizontal="center" vertical="center"/>
    </xf>
    <xf numFmtId="0" fontId="12" fillId="0" borderId="10" xfId="0" applyFont="1" applyBorder="1"/>
    <xf numFmtId="0" fontId="12" fillId="0" borderId="15" xfId="0" applyFont="1" applyBorder="1"/>
    <xf numFmtId="0" fontId="28" fillId="0" borderId="9" xfId="0" applyFont="1" applyBorder="1" applyAlignment="1">
      <alignment wrapText="1"/>
    </xf>
    <xf numFmtId="0" fontId="28" fillId="0" borderId="2" xfId="0" applyFont="1" applyBorder="1"/>
    <xf numFmtId="0" fontId="28" fillId="0" borderId="0" xfId="0" applyFont="1" applyAlignment="1">
      <alignment wrapText="1"/>
    </xf>
    <xf numFmtId="0" fontId="28" fillId="0" borderId="0" xfId="0" applyFont="1"/>
    <xf numFmtId="0" fontId="4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0" fillId="0" borderId="11" xfId="0" applyFont="1" applyBorder="1" applyAlignment="1">
      <alignment horizontal="center"/>
    </xf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Financial Statements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Financial Statements-style 2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IN" b="1">
                <a:solidFill>
                  <a:srgbClr val="000000"/>
                </a:solidFill>
                <a:latin typeface="+mn-lt"/>
              </a:rPr>
              <a:t>Cost of Equity (CAPM)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'Cost of Equity'!$A$8</c:f>
              <c:strCache>
                <c:ptCount val="1"/>
                <c:pt idx="0">
                  <c:v>Ke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'Cost of Equity'!$B$3:$F$3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</c:v>
                </c:pt>
                <c:pt idx="4">
                  <c:v>2024-25</c:v>
                </c:pt>
              </c:strCache>
            </c:strRef>
          </c:cat>
          <c:val>
            <c:numRef>
              <c:f>'Cost of Equity'!$B$8:$F$8</c:f>
              <c:numCache>
                <c:formatCode>0.00%</c:formatCode>
                <c:ptCount val="5"/>
                <c:pt idx="0">
                  <c:v>5.606182058403944E-2</c:v>
                </c:pt>
                <c:pt idx="1">
                  <c:v>7.7139907584895848E-2</c:v>
                </c:pt>
                <c:pt idx="2">
                  <c:v>6.6188258619321871E-2</c:v>
                </c:pt>
                <c:pt idx="3">
                  <c:v>0.11947306966991453</c:v>
                </c:pt>
                <c:pt idx="4">
                  <c:v>6.5834202008909812E-2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100-4489-82D1-D088DA080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5738619"/>
        <c:axId val="799049164"/>
      </c:barChart>
      <c:catAx>
        <c:axId val="695738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E5656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3E5656"/>
                    </a:solidFill>
                    <a:latin typeface="+mn-lt"/>
                  </a:rPr>
                  <a:t>F.Y.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3E5656"/>
                </a:solidFill>
                <a:latin typeface="+mn-lt"/>
              </a:defRPr>
            </a:pPr>
            <a:endParaRPr lang="en-US"/>
          </a:p>
        </c:txPr>
        <c:crossAx val="799049164"/>
        <c:crosses val="autoZero"/>
        <c:auto val="1"/>
        <c:lblAlgn val="ctr"/>
        <c:lblOffset val="100"/>
        <c:noMultiLvlLbl val="1"/>
      </c:catAx>
      <c:valAx>
        <c:axId val="7990491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E5656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3E5656"/>
                    </a:solidFill>
                    <a:latin typeface="+mn-lt"/>
                  </a:rPr>
                  <a:t>Ke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E5656"/>
                </a:solidFill>
                <a:latin typeface="+mn-lt"/>
              </a:defRPr>
            </a:pPr>
            <a:endParaRPr lang="en-US"/>
          </a:p>
        </c:txPr>
        <c:crossAx val="69573861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516767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IN" b="1">
                <a:solidFill>
                  <a:srgbClr val="000000"/>
                </a:solidFill>
                <a:latin typeface="+mn-lt"/>
              </a:rPr>
              <a:t>Cost of Equity (DDM)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'Cost of Equity'!$I$14</c:f>
              <c:strCache>
                <c:ptCount val="1"/>
                <c:pt idx="0">
                  <c:v>Cost of Equity (Ke)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'Cost of Equity'!$J$3:$N$3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</c:v>
                </c:pt>
                <c:pt idx="4">
                  <c:v>2024-25</c:v>
                </c:pt>
              </c:strCache>
            </c:strRef>
          </c:cat>
          <c:val>
            <c:numRef>
              <c:f>'Cost of Equity'!$J$14:$N$14</c:f>
              <c:numCache>
                <c:formatCode>0.00%</c:formatCode>
                <c:ptCount val="5"/>
                <c:pt idx="0">
                  <c:v>0.14168892409501233</c:v>
                </c:pt>
                <c:pt idx="1">
                  <c:v>5.1928616205401804E-2</c:v>
                </c:pt>
                <c:pt idx="2">
                  <c:v>7.8060482139129597E-3</c:v>
                </c:pt>
                <c:pt idx="3">
                  <c:v>-6.4161860019229244E-2</c:v>
                </c:pt>
                <c:pt idx="4">
                  <c:v>9.7720572131147522E-3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A79-4609-82EC-B742E253A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851412"/>
        <c:axId val="401730790"/>
      </c:barChart>
      <c:catAx>
        <c:axId val="401851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E5656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3E5656"/>
                    </a:solidFill>
                    <a:latin typeface="+mn-lt"/>
                  </a:rPr>
                  <a:t>F.Y.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3E5656"/>
                </a:solidFill>
                <a:latin typeface="+mn-lt"/>
              </a:defRPr>
            </a:pPr>
            <a:endParaRPr lang="en-US"/>
          </a:p>
        </c:txPr>
        <c:crossAx val="401730790"/>
        <c:crosses val="autoZero"/>
        <c:auto val="1"/>
        <c:lblAlgn val="ctr"/>
        <c:lblOffset val="100"/>
        <c:noMultiLvlLbl val="1"/>
      </c:catAx>
      <c:valAx>
        <c:axId val="401730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E5656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3E5656"/>
                    </a:solidFill>
                    <a:latin typeface="+mn-lt"/>
                  </a:rPr>
                  <a:t>Cost of Equity (Ke)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E5656"/>
                </a:solidFill>
                <a:latin typeface="+mn-lt"/>
              </a:defRPr>
            </a:pPr>
            <a:endParaRPr lang="en-US"/>
          </a:p>
        </c:txPr>
        <c:crossAx val="40185141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516767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IN" b="1">
                <a:solidFill>
                  <a:srgbClr val="000000"/>
                </a:solidFill>
                <a:latin typeface="+mn-lt"/>
              </a:rPr>
              <a:t>Post-tax Cost of Debt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'Cost of Debt'!$B$16</c:f>
              <c:strCache>
                <c:ptCount val="1"/>
                <c:pt idx="0">
                  <c:v>Post-tax Cost of Debt (Kd)</c:v>
                </c:pt>
              </c:strCache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'Cost of Debt'!$C$7:$G$7</c:f>
              <c:strCache>
                <c:ptCount val="5"/>
                <c:pt idx="0">
                  <c:v>FY 2024-25</c:v>
                </c:pt>
                <c:pt idx="1">
                  <c:v>FY 2023-24</c:v>
                </c:pt>
                <c:pt idx="2">
                  <c:v>FY 2022-23</c:v>
                </c:pt>
                <c:pt idx="3">
                  <c:v>FY 2021-22</c:v>
                </c:pt>
                <c:pt idx="4">
                  <c:v>FY 2020-21</c:v>
                </c:pt>
              </c:strCache>
            </c:strRef>
          </c:cat>
          <c:val>
            <c:numRef>
              <c:f>'Cost of Debt'!$C$16:$G$16</c:f>
              <c:numCache>
                <c:formatCode>0.00%</c:formatCode>
                <c:ptCount val="5"/>
                <c:pt idx="0">
                  <c:v>3.0553043084209325E-2</c:v>
                </c:pt>
                <c:pt idx="1">
                  <c:v>4.2252540612582726E-2</c:v>
                </c:pt>
                <c:pt idx="2">
                  <c:v>3.3386070967912976E-2</c:v>
                </c:pt>
                <c:pt idx="3">
                  <c:v>3.6406979656275033E-2</c:v>
                </c:pt>
                <c:pt idx="4">
                  <c:v>3.2822271684646437E-2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C8C-4BF2-BB2D-B9A83A5A6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2234545"/>
        <c:axId val="426251607"/>
      </c:barChart>
      <c:catAx>
        <c:axId val="1992234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E5656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3E5656"/>
                </a:solidFill>
                <a:latin typeface="+mn-lt"/>
              </a:defRPr>
            </a:pPr>
            <a:endParaRPr lang="en-US"/>
          </a:p>
        </c:txPr>
        <c:crossAx val="426251607"/>
        <c:crosses val="autoZero"/>
        <c:auto val="1"/>
        <c:lblAlgn val="ctr"/>
        <c:lblOffset val="100"/>
        <c:noMultiLvlLbl val="1"/>
      </c:catAx>
      <c:valAx>
        <c:axId val="4262516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E5656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3E5656"/>
                    </a:solidFill>
                    <a:latin typeface="+mn-lt"/>
                  </a:rPr>
                  <a:t>Post-tax Cost of Debt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E5656"/>
                </a:solidFill>
                <a:latin typeface="+mn-lt"/>
              </a:defRPr>
            </a:pPr>
            <a:endParaRPr lang="en-US"/>
          </a:p>
        </c:txPr>
        <c:crossAx val="199223454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516767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97A4A4"/>
                </a:solidFill>
                <a:latin typeface="+mn-lt"/>
              </a:defRPr>
            </a:pPr>
            <a:r>
              <a:rPr lang="en-IN" b="0">
                <a:solidFill>
                  <a:srgbClr val="97A4A4"/>
                </a:solidFill>
                <a:latin typeface="+mn-lt"/>
              </a:rPr>
              <a:t>WACC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'PART A'!$I$12</c:f>
              <c:strCache>
                <c:ptCount val="1"/>
                <c:pt idx="0">
                  <c:v>WACC</c:v>
                </c:pt>
              </c:strCache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'PART A'!$J$4:$N$4</c:f>
              <c:strCache>
                <c:ptCount val="5"/>
                <c:pt idx="0">
                  <c:v>FY 2024-25</c:v>
                </c:pt>
                <c:pt idx="1">
                  <c:v>FY 2023-24</c:v>
                </c:pt>
                <c:pt idx="2">
                  <c:v>FY 2022-23</c:v>
                </c:pt>
                <c:pt idx="3">
                  <c:v>FY 2021-22</c:v>
                </c:pt>
                <c:pt idx="4">
                  <c:v>FY 2020-21</c:v>
                </c:pt>
              </c:strCache>
            </c:strRef>
          </c:cat>
          <c:val>
            <c:numRef>
              <c:f>'PART A'!$J$12:$N$12</c:f>
              <c:numCache>
                <c:formatCode>0.00%</c:formatCode>
                <c:ptCount val="5"/>
                <c:pt idx="0">
                  <c:v>5.5863626928851107E-2</c:v>
                </c:pt>
                <c:pt idx="1">
                  <c:v>7.6992730951867303E-2</c:v>
                </c:pt>
                <c:pt idx="2">
                  <c:v>6.5993494741861322E-2</c:v>
                </c:pt>
                <c:pt idx="3">
                  <c:v>0.11914629942892428</c:v>
                </c:pt>
                <c:pt idx="4">
                  <c:v>6.5637683542825884E-2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0FE-4F46-B802-22A451AFC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7064565"/>
        <c:axId val="2067117639"/>
      </c:barChart>
      <c:catAx>
        <c:axId val="11070645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E5656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3E5656"/>
                </a:solidFill>
                <a:latin typeface="+mn-lt"/>
              </a:defRPr>
            </a:pPr>
            <a:endParaRPr lang="en-US"/>
          </a:p>
        </c:txPr>
        <c:crossAx val="2067117639"/>
        <c:crosses val="autoZero"/>
        <c:auto val="1"/>
        <c:lblAlgn val="ctr"/>
        <c:lblOffset val="100"/>
        <c:noMultiLvlLbl val="1"/>
      </c:catAx>
      <c:valAx>
        <c:axId val="20671176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E5656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3E5656"/>
                    </a:solidFill>
                    <a:latin typeface="+mn-lt"/>
                  </a:rPr>
                  <a:t>WACC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E5656"/>
                </a:solidFill>
                <a:latin typeface="+mn-lt"/>
              </a:defRPr>
            </a:pPr>
            <a:endParaRPr lang="en-US"/>
          </a:p>
        </c:txPr>
        <c:crossAx val="11070645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516767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IN" b="1">
                <a:solidFill>
                  <a:srgbClr val="000000"/>
                </a:solidFill>
                <a:latin typeface="+mn-lt"/>
              </a:rPr>
              <a:t>Ke, Kd and WACC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'PART A'!$F$828</c:f>
              <c:strCache>
                <c:ptCount val="1"/>
                <c:pt idx="0">
                  <c:v>Ke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'PART A'!$G$827:$K$827</c:f>
              <c:strCache>
                <c:ptCount val="5"/>
                <c:pt idx="0">
                  <c:v>FY 2024-25</c:v>
                </c:pt>
                <c:pt idx="1">
                  <c:v>FY 2023-24</c:v>
                </c:pt>
                <c:pt idx="2">
                  <c:v>FY 2022-23</c:v>
                </c:pt>
                <c:pt idx="3">
                  <c:v>FY 2021-22</c:v>
                </c:pt>
                <c:pt idx="4">
                  <c:v>FY 2020-21</c:v>
                </c:pt>
              </c:strCache>
            </c:strRef>
          </c:cat>
          <c:val>
            <c:numRef>
              <c:f>'PART A'!$G$828:$K$828</c:f>
              <c:numCache>
                <c:formatCode>0.00%</c:formatCode>
                <c:ptCount val="5"/>
                <c:pt idx="0">
                  <c:v>3.4168651285096989E-2</c:v>
                </c:pt>
                <c:pt idx="1">
                  <c:v>5.770115030052593E-2</c:v>
                </c:pt>
                <c:pt idx="2">
                  <c:v>4.6352435876609858E-2</c:v>
                </c:pt>
                <c:pt idx="3">
                  <c:v>0.10281545718360988</c:v>
                </c:pt>
                <c:pt idx="4">
                  <c:v>5.1571276367658951E-2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C14-4E6A-9B57-5AA02F00BF82}"/>
            </c:ext>
          </c:extLst>
        </c:ser>
        <c:ser>
          <c:idx val="1"/>
          <c:order val="1"/>
          <c:tx>
            <c:strRef>
              <c:f>'PART A'!$F$829</c:f>
              <c:strCache>
                <c:ptCount val="1"/>
                <c:pt idx="0">
                  <c:v>Kd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'PART A'!$G$827:$K$827</c:f>
              <c:strCache>
                <c:ptCount val="5"/>
                <c:pt idx="0">
                  <c:v>FY 2024-25</c:v>
                </c:pt>
                <c:pt idx="1">
                  <c:v>FY 2023-24</c:v>
                </c:pt>
                <c:pt idx="2">
                  <c:v>FY 2022-23</c:v>
                </c:pt>
                <c:pt idx="3">
                  <c:v>FY 2021-22</c:v>
                </c:pt>
                <c:pt idx="4">
                  <c:v>FY 2020-21</c:v>
                </c:pt>
              </c:strCache>
            </c:strRef>
          </c:cat>
          <c:val>
            <c:numRef>
              <c:f>'PART A'!$G$829:$K$829</c:f>
              <c:numCache>
                <c:formatCode>0.00%</c:formatCode>
                <c:ptCount val="5"/>
                <c:pt idx="0">
                  <c:v>3.3923475131560854E-2</c:v>
                </c:pt>
                <c:pt idx="1">
                  <c:v>1.9897249655116071E-2</c:v>
                </c:pt>
                <c:pt idx="2">
                  <c:v>1.5431873675839923E-2</c:v>
                </c:pt>
                <c:pt idx="3">
                  <c:v>4.9910630004095888E-2</c:v>
                </c:pt>
                <c:pt idx="4">
                  <c:v>4.5534499653050169E-2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C14-4E6A-9B57-5AA02F00BF82}"/>
            </c:ext>
          </c:extLst>
        </c:ser>
        <c:ser>
          <c:idx val="2"/>
          <c:order val="2"/>
          <c:tx>
            <c:strRef>
              <c:f>'PART A'!$F$830</c:f>
              <c:strCache>
                <c:ptCount val="1"/>
                <c:pt idx="0">
                  <c:v>WACC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'PART A'!$G$827:$K$827</c:f>
              <c:strCache>
                <c:ptCount val="5"/>
                <c:pt idx="0">
                  <c:v>FY 2024-25</c:v>
                </c:pt>
                <c:pt idx="1">
                  <c:v>FY 2023-24</c:v>
                </c:pt>
                <c:pt idx="2">
                  <c:v>FY 2022-23</c:v>
                </c:pt>
                <c:pt idx="3">
                  <c:v>FY 2021-22</c:v>
                </c:pt>
                <c:pt idx="4">
                  <c:v>FY 2020-21</c:v>
                </c:pt>
              </c:strCache>
            </c:strRef>
          </c:cat>
          <c:val>
            <c:numRef>
              <c:f>'PART A'!$G$830:$K$830</c:f>
              <c:numCache>
                <c:formatCode>0.00%</c:formatCode>
                <c:ptCount val="5"/>
                <c:pt idx="0">
                  <c:v>3.4167953464271358E-2</c:v>
                </c:pt>
                <c:pt idx="1">
                  <c:v>5.7701149479234631E-2</c:v>
                </c:pt>
                <c:pt idx="2">
                  <c:v>4.5997264418286957E-2</c:v>
                </c:pt>
                <c:pt idx="3">
                  <c:v>0.10226744622938071</c:v>
                </c:pt>
                <c:pt idx="4">
                  <c:v>5.1482872561517901E-2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C14-4E6A-9B57-5AA02F00B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9680240"/>
        <c:axId val="557904879"/>
      </c:barChart>
      <c:catAx>
        <c:axId val="1569680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E5656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3E5656"/>
                    </a:solidFill>
                    <a:latin typeface="+mn-lt"/>
                  </a:rPr>
                  <a:t>Financial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3E5656"/>
                </a:solidFill>
                <a:latin typeface="+mn-lt"/>
              </a:defRPr>
            </a:pPr>
            <a:endParaRPr lang="en-US"/>
          </a:p>
        </c:txPr>
        <c:crossAx val="557904879"/>
        <c:crosses val="autoZero"/>
        <c:auto val="1"/>
        <c:lblAlgn val="ctr"/>
        <c:lblOffset val="100"/>
        <c:noMultiLvlLbl val="1"/>
      </c:catAx>
      <c:valAx>
        <c:axId val="5579048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E5656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3E5656"/>
                    </a:solidFill>
                    <a:latin typeface="+mn-lt"/>
                  </a:rPr>
                  <a:t>%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E5656"/>
                </a:solidFill>
                <a:latin typeface="+mn-lt"/>
              </a:defRPr>
            </a:pPr>
            <a:endParaRPr lang="en-US"/>
          </a:p>
        </c:txPr>
        <c:crossAx val="156968024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516767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IN" b="1">
                <a:solidFill>
                  <a:srgbClr val="000000"/>
                </a:solidFill>
                <a:latin typeface="+mn-lt"/>
              </a:rPr>
              <a:t>PV of Lease and PV of Ownership as WACC changes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'Part C'!$W$17</c:f>
              <c:strCache>
                <c:ptCount val="1"/>
                <c:pt idx="0">
                  <c:v>PV of Lease</c:v>
                </c:pt>
              </c:strCache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'Part C'!$V$18:$V$20</c:f>
              <c:numCache>
                <c:formatCode>0.00%</c:formatCode>
                <c:ptCount val="3"/>
                <c:pt idx="0">
                  <c:v>4.5863626928851105E-2</c:v>
                </c:pt>
                <c:pt idx="1">
                  <c:v>5.5863626928851107E-2</c:v>
                </c:pt>
                <c:pt idx="2">
                  <c:v>6.5863626928851102E-2</c:v>
                </c:pt>
              </c:numCache>
            </c:numRef>
          </c:cat>
          <c:val>
            <c:numRef>
              <c:f>'Part C'!$W$18:$W$20</c:f>
              <c:numCache>
                <c:formatCode>#,##0.00</c:formatCode>
                <c:ptCount val="3"/>
                <c:pt idx="0">
                  <c:v>20496715.844074145</c:v>
                </c:pt>
                <c:pt idx="1">
                  <c:v>19686119.955830224</c:v>
                </c:pt>
                <c:pt idx="2">
                  <c:v>18923557.160044778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75-47C2-B157-CFF25C1C7EFB}"/>
            </c:ext>
          </c:extLst>
        </c:ser>
        <c:ser>
          <c:idx val="1"/>
          <c:order val="1"/>
          <c:tx>
            <c:strRef>
              <c:f>'Part C'!$X$17</c:f>
              <c:strCache>
                <c:ptCount val="1"/>
                <c:pt idx="0">
                  <c:v>PV of Ownership</c:v>
                </c:pt>
              </c:strCache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'Part C'!$V$18:$V$20</c:f>
              <c:numCache>
                <c:formatCode>0.00%</c:formatCode>
                <c:ptCount val="3"/>
                <c:pt idx="0">
                  <c:v>4.5863626928851105E-2</c:v>
                </c:pt>
                <c:pt idx="1">
                  <c:v>5.5863626928851107E-2</c:v>
                </c:pt>
                <c:pt idx="2">
                  <c:v>6.5863626928851102E-2</c:v>
                </c:pt>
              </c:numCache>
            </c:numRef>
          </c:cat>
          <c:val>
            <c:numRef>
              <c:f>'Part C'!$X$18:$X$20</c:f>
              <c:numCache>
                <c:formatCode>#,##0.00</c:formatCode>
                <c:ptCount val="3"/>
                <c:pt idx="0">
                  <c:v>21101844.637300979</c:v>
                </c:pt>
                <c:pt idx="1">
                  <c:v>21301965.47859209</c:v>
                </c:pt>
                <c:pt idx="2">
                  <c:v>21487986.638712425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75-47C2-B157-CFF25C1C7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1850053"/>
        <c:axId val="1832737076"/>
      </c:lineChart>
      <c:catAx>
        <c:axId val="9018500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E5656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3E5656"/>
                    </a:solidFill>
                    <a:latin typeface="+mn-lt"/>
                  </a:rPr>
                  <a:t>WACC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3E5656"/>
                </a:solidFill>
                <a:latin typeface="+mn-lt"/>
              </a:defRPr>
            </a:pPr>
            <a:endParaRPr lang="en-US"/>
          </a:p>
        </c:txPr>
        <c:crossAx val="1832737076"/>
        <c:crosses val="autoZero"/>
        <c:auto val="1"/>
        <c:lblAlgn val="ctr"/>
        <c:lblOffset val="100"/>
        <c:noMultiLvlLbl val="1"/>
      </c:catAx>
      <c:valAx>
        <c:axId val="1832737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E5656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E5656"/>
                </a:solidFill>
                <a:latin typeface="+mn-lt"/>
              </a:defRPr>
            </a:pPr>
            <a:endParaRPr lang="en-US"/>
          </a:p>
        </c:txPr>
        <c:crossAx val="90185005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516767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IN" b="1">
                <a:solidFill>
                  <a:srgbClr val="000000"/>
                </a:solidFill>
                <a:latin typeface="+mn-lt"/>
              </a:rPr>
              <a:t>PV of Lease and PV of Ownership as Useful Life changes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'Part C'!$AC$17</c:f>
              <c:strCache>
                <c:ptCount val="1"/>
                <c:pt idx="0">
                  <c:v>PV of Lease</c:v>
                </c:pt>
              </c:strCache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'Part C'!$AB$18:$AB$20</c:f>
              <c:strCache>
                <c:ptCount val="3"/>
                <c:pt idx="0">
                  <c:v>6 years</c:v>
                </c:pt>
                <c:pt idx="1">
                  <c:v>8 years </c:v>
                </c:pt>
                <c:pt idx="2">
                  <c:v>10 years</c:v>
                </c:pt>
              </c:strCache>
            </c:strRef>
          </c:cat>
          <c:val>
            <c:numRef>
              <c:f>'Part C'!$AC$18:$AC$20</c:f>
              <c:numCache>
                <c:formatCode>#,##0.00</c:formatCode>
                <c:ptCount val="3"/>
                <c:pt idx="0">
                  <c:v>15535874.748089738</c:v>
                </c:pt>
                <c:pt idx="1">
                  <c:v>19686119.955830224</c:v>
                </c:pt>
                <c:pt idx="2">
                  <c:v>23408820.460909538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D9-4F93-A775-BBE18CA070AD}"/>
            </c:ext>
          </c:extLst>
        </c:ser>
        <c:ser>
          <c:idx val="1"/>
          <c:order val="1"/>
          <c:tx>
            <c:strRef>
              <c:f>'Part C'!$AD$17</c:f>
              <c:strCache>
                <c:ptCount val="1"/>
                <c:pt idx="0">
                  <c:v>PV of Ownership</c:v>
                </c:pt>
              </c:strCache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'Part C'!$AB$18:$AB$20</c:f>
              <c:strCache>
                <c:ptCount val="3"/>
                <c:pt idx="0">
                  <c:v>6 years</c:v>
                </c:pt>
                <c:pt idx="1">
                  <c:v>8 years </c:v>
                </c:pt>
                <c:pt idx="2">
                  <c:v>10 years</c:v>
                </c:pt>
              </c:strCache>
            </c:strRef>
          </c:cat>
          <c:val>
            <c:numRef>
              <c:f>'Part C'!$AD$18:$AD$20</c:f>
              <c:numCache>
                <c:formatCode>General</c:formatCode>
                <c:ptCount val="3"/>
                <c:pt idx="0" formatCode="#,##0.00">
                  <c:v>20641393.032919951</c:v>
                </c:pt>
                <c:pt idx="1">
                  <c:v>21301965.47859209</c:v>
                </c:pt>
                <c:pt idx="2" formatCode="#,##0.00">
                  <c:v>21901767.279478136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D9-4F93-A775-BBE18CA07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5419111"/>
        <c:axId val="958152375"/>
      </c:lineChart>
      <c:catAx>
        <c:axId val="1885419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E5656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3E5656"/>
                    </a:solidFill>
                    <a:latin typeface="+mn-lt"/>
                  </a:rPr>
                  <a:t>Useful Life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3E5656"/>
                </a:solidFill>
                <a:latin typeface="+mn-lt"/>
              </a:defRPr>
            </a:pPr>
            <a:endParaRPr lang="en-US"/>
          </a:p>
        </c:txPr>
        <c:crossAx val="958152375"/>
        <c:crosses val="autoZero"/>
        <c:auto val="1"/>
        <c:lblAlgn val="ctr"/>
        <c:lblOffset val="100"/>
        <c:noMultiLvlLbl val="1"/>
      </c:catAx>
      <c:valAx>
        <c:axId val="9581523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E5656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E5656"/>
                </a:solidFill>
                <a:latin typeface="+mn-lt"/>
              </a:defRPr>
            </a:pPr>
            <a:endParaRPr lang="en-US"/>
          </a:p>
        </c:txPr>
        <c:crossAx val="188541911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516767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1171575</xdr:colOff>
      <xdr:row>14</xdr:row>
      <xdr:rowOff>114300</xdr:rowOff>
    </xdr:from>
    <xdr:ext cx="4505325" cy="27908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581025</xdr:colOff>
      <xdr:row>14</xdr:row>
      <xdr:rowOff>171450</xdr:rowOff>
    </xdr:from>
    <xdr:ext cx="4286250" cy="264795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514350</xdr:colOff>
      <xdr:row>3</xdr:row>
      <xdr:rowOff>219075</xdr:rowOff>
    </xdr:from>
    <xdr:ext cx="4876800" cy="3009900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790575</xdr:colOff>
      <xdr:row>18</xdr:row>
      <xdr:rowOff>47625</xdr:rowOff>
    </xdr:from>
    <xdr:ext cx="5705475" cy="2781300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0</xdr:colOff>
      <xdr:row>17</xdr:row>
      <xdr:rowOff>104775</xdr:rowOff>
    </xdr:from>
    <xdr:ext cx="6705600" cy="2933700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133350</xdr:colOff>
      <xdr:row>0</xdr:row>
      <xdr:rowOff>171450</xdr:rowOff>
    </xdr:from>
    <xdr:ext cx="8296275" cy="2647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43700" cy="31432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609600</xdr:colOff>
      <xdr:row>24</xdr:row>
      <xdr:rowOff>85725</xdr:rowOff>
    </xdr:from>
    <xdr:ext cx="5210175" cy="3533775"/>
    <xdr:pic>
      <xdr:nvPicPr>
        <xdr:cNvPr id="614681209" name="Chart6" title="Chart">
          <a:extLst>
            <a:ext uri="{FF2B5EF4-FFF2-40B4-BE49-F238E27FC236}">
              <a16:creationId xmlns:a16="http://schemas.microsoft.com/office/drawing/2014/main" id="{00000000-0008-0000-0600-0000794AA324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10375" y="4886325"/>
          <a:ext cx="5210175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47625</xdr:colOff>
      <xdr:row>20</xdr:row>
      <xdr:rowOff>200025</xdr:rowOff>
    </xdr:from>
    <xdr:ext cx="5715000" cy="353377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26</xdr:col>
      <xdr:colOff>981075</xdr:colOff>
      <xdr:row>21</xdr:row>
      <xdr:rowOff>161925</xdr:rowOff>
    </xdr:from>
    <xdr:ext cx="5715000" cy="35337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19050</xdr:colOff>
      <xdr:row>10</xdr:row>
      <xdr:rowOff>238125</xdr:rowOff>
    </xdr:from>
    <xdr:ext cx="7048500" cy="641032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G21">
  <tableColumns count="6">
    <tableColumn id="1" xr3:uid="{00000000-0010-0000-0000-000001000000}" name="Particulars"/>
    <tableColumn id="2" xr3:uid="{00000000-0010-0000-0000-000002000000}" name="FY 2024-25"/>
    <tableColumn id="3" xr3:uid="{00000000-0010-0000-0000-000003000000}" name="FY 2023-24"/>
    <tableColumn id="4" xr3:uid="{00000000-0010-0000-0000-000004000000}" name="FY 2022-23"/>
    <tableColumn id="5" xr3:uid="{00000000-0010-0000-0000-000005000000}" name="FY 2021-22"/>
    <tableColumn id="6" xr3:uid="{00000000-0010-0000-0000-000006000000}" name="FY 2020-21"/>
  </tableColumns>
  <tableStyleInfo name="Financial Statemen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26:G60">
  <tableColumns count="6">
    <tableColumn id="1" xr3:uid="{00000000-0010-0000-0100-000001000000}" name="Particulars"/>
    <tableColumn id="2" xr3:uid="{00000000-0010-0000-0100-000002000000}" name="FY 2024-25"/>
    <tableColumn id="3" xr3:uid="{00000000-0010-0000-0100-000003000000}" name="FY 2023-24"/>
    <tableColumn id="4" xr3:uid="{00000000-0010-0000-0100-000004000000}" name="FY 2022-23"/>
    <tableColumn id="5" xr3:uid="{00000000-0010-0000-0100-000005000000}" name="FY 2021-22"/>
    <tableColumn id="6" xr3:uid="{00000000-0010-0000-0100-000006000000}" name="FY 2020-21"/>
  </tableColumns>
  <tableStyleInfo name="Financial Statement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3E5656"/>
      </a:dk1>
      <a:lt1>
        <a:srgbClr val="F5F5F5"/>
      </a:lt1>
      <a:dk2>
        <a:srgbClr val="3E5656"/>
      </a:dk2>
      <a:lt2>
        <a:srgbClr val="F5F5F5"/>
      </a:lt2>
      <a:accent1>
        <a:srgbClr val="B0725D"/>
      </a:accent1>
      <a:accent2>
        <a:srgbClr val="8F3738"/>
      </a:accent2>
      <a:accent3>
        <a:srgbClr val="E79A3C"/>
      </a:accent3>
      <a:accent4>
        <a:srgbClr val="447874"/>
      </a:accent4>
      <a:accent5>
        <a:srgbClr val="D2D479"/>
      </a:accent5>
      <a:accent6>
        <a:srgbClr val="8B8948"/>
      </a:accent6>
      <a:hlink>
        <a:srgbClr val="8B8948"/>
      </a:hlink>
      <a:folHlink>
        <a:srgbClr val="8B8948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nsights.techmahindra.com/investors/tml-integrated-annual-report-fy-2024-2025.pdf" TargetMode="External"/><Relationship Id="rId3" Type="http://schemas.openxmlformats.org/officeDocument/2006/relationships/hyperlink" Target="https://www.marketwatch.com/investing/stock/532755/download-data?countrycode=in&amp;mod=mw_quote_tab" TargetMode="External"/><Relationship Id="rId7" Type="http://schemas.openxmlformats.org/officeDocument/2006/relationships/hyperlink" Target="https://in.investing.com/indices/nifty-total-returns-historical-data" TargetMode="External"/><Relationship Id="rId2" Type="http://schemas.openxmlformats.org/officeDocument/2006/relationships/hyperlink" Target="https://www.moneycontrol.com/india/stockpricequote/computers-software/techmahindra/TM4" TargetMode="External"/><Relationship Id="rId1" Type="http://schemas.openxmlformats.org/officeDocument/2006/relationships/hyperlink" Target="https://www.marketwatch.com/investing/bond/ldbmkin-10y/download-data?countrycode=bx&amp;mod=mw_quote_tab" TargetMode="External"/><Relationship Id="rId6" Type="http://schemas.openxmlformats.org/officeDocument/2006/relationships/hyperlink" Target="https://www.moneycontrol.com/company-facts/techmahindra/dividends/TM4" TargetMode="External"/><Relationship Id="rId5" Type="http://schemas.openxmlformats.org/officeDocument/2006/relationships/hyperlink" Target="https://pages.stern.nyu.edu/~adamodar/New_Home_Page/datafile/ctryprem.html" TargetMode="External"/><Relationship Id="rId4" Type="http://schemas.openxmlformats.org/officeDocument/2006/relationships/hyperlink" Target="https://www.moneycontrol.com/financials/techmahindra/ratiosVI/tm4" TargetMode="External"/><Relationship Id="rId9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ghts.techmahindra.com/investors/tml-integrated-annual-report-fy-2022-2023.pdf" TargetMode="External"/><Relationship Id="rId2" Type="http://schemas.openxmlformats.org/officeDocument/2006/relationships/hyperlink" Target="https://insights.techmahindra.com/investors/tml-integrated-annual-report-fy-2023-2024.pdf" TargetMode="External"/><Relationship Id="rId1" Type="http://schemas.openxmlformats.org/officeDocument/2006/relationships/hyperlink" Target="https://insights.techmahindra.com/investors/tml-integrated-annual-report-fy-2024-2025.pdf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insights.techmahindra.com/investors/annual-report-20-21.pdf" TargetMode="External"/><Relationship Id="rId4" Type="http://schemas.openxmlformats.org/officeDocument/2006/relationships/hyperlink" Target="https://insights.techmahindra.com/investors/tml-integrated-annual-report-fy-2021-22-f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finance.yahoo.com/quote/TECHM.NS/history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2" max="2" width="34.140625" customWidth="1"/>
    <col min="3" max="3" width="17.28515625" customWidth="1"/>
    <col min="5" max="5" width="15.42578125" customWidth="1"/>
    <col min="6" max="6" width="19.5703125" customWidth="1"/>
    <col min="7" max="7" width="98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1"/>
      <c r="B2" s="3" t="s">
        <v>0</v>
      </c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1"/>
      <c r="B4" s="4" t="s">
        <v>1</v>
      </c>
      <c r="C4" s="1">
        <v>11</v>
      </c>
      <c r="D4" s="1"/>
      <c r="E4" s="1"/>
      <c r="F4" s="1"/>
      <c r="G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1"/>
      <c r="B5" s="4" t="s">
        <v>2</v>
      </c>
      <c r="C5" s="1" t="s">
        <v>3</v>
      </c>
      <c r="D5" s="1"/>
      <c r="E5" s="1"/>
      <c r="F5" s="4" t="s">
        <v>4</v>
      </c>
      <c r="G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1"/>
      <c r="B6" s="1"/>
      <c r="C6" s="1"/>
      <c r="D6" s="1"/>
      <c r="E6" s="1"/>
      <c r="F6" s="1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1"/>
      <c r="B7" s="109" t="s">
        <v>5</v>
      </c>
      <c r="C7" s="110"/>
      <c r="D7" s="1"/>
      <c r="E7" s="4" t="s">
        <v>6</v>
      </c>
      <c r="F7" s="4" t="s">
        <v>7</v>
      </c>
      <c r="G7" s="4" t="s">
        <v>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"/>
      <c r="B8" s="1" t="s">
        <v>9</v>
      </c>
      <c r="C8" s="1" t="s">
        <v>10</v>
      </c>
      <c r="D8" s="1"/>
      <c r="E8" s="1">
        <v>1</v>
      </c>
      <c r="F8" s="1" t="s">
        <v>11</v>
      </c>
      <c r="G8" s="5" t="s">
        <v>12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"/>
      <c r="B9" s="1" t="s">
        <v>13</v>
      </c>
      <c r="C9" s="1" t="s">
        <v>14</v>
      </c>
      <c r="D9" s="1"/>
      <c r="E9" s="1">
        <v>2</v>
      </c>
      <c r="F9" s="1" t="s">
        <v>15</v>
      </c>
      <c r="G9" s="5" t="s">
        <v>16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"/>
      <c r="B10" s="1" t="s">
        <v>17</v>
      </c>
      <c r="C10" s="1" t="s">
        <v>18</v>
      </c>
      <c r="D10" s="1"/>
      <c r="E10" s="1">
        <v>3</v>
      </c>
      <c r="F10" s="1" t="s">
        <v>19</v>
      </c>
      <c r="G10" s="5" t="s">
        <v>20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"/>
      <c r="B11" s="1" t="s">
        <v>21</v>
      </c>
      <c r="C11" s="1" t="s">
        <v>22</v>
      </c>
      <c r="D11" s="1"/>
      <c r="E11" s="1">
        <v>4</v>
      </c>
      <c r="F11" s="1" t="s">
        <v>23</v>
      </c>
      <c r="G11" s="5" t="s">
        <v>24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"/>
      <c r="B12" s="1" t="s">
        <v>25</v>
      </c>
      <c r="C12" s="1" t="s">
        <v>26</v>
      </c>
      <c r="D12" s="1"/>
      <c r="E12" s="1">
        <v>5</v>
      </c>
      <c r="F12" s="1" t="s">
        <v>27</v>
      </c>
      <c r="G12" s="5" t="s">
        <v>28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"/>
      <c r="B13" s="1" t="s">
        <v>29</v>
      </c>
      <c r="C13" s="1" t="s">
        <v>30</v>
      </c>
      <c r="D13" s="1"/>
      <c r="E13" s="1">
        <v>6</v>
      </c>
      <c r="F13" s="1" t="s">
        <v>31</v>
      </c>
      <c r="G13" s="5" t="s">
        <v>32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"/>
      <c r="B14" s="1" t="s">
        <v>33</v>
      </c>
      <c r="C14" s="1" t="s">
        <v>34</v>
      </c>
      <c r="D14" s="1"/>
      <c r="E14" s="1"/>
      <c r="F14" s="1"/>
      <c r="G14" s="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"/>
      <c r="B15" s="1" t="s">
        <v>35</v>
      </c>
      <c r="C15" s="1" t="s">
        <v>36</v>
      </c>
      <c r="D15" s="1"/>
      <c r="E15" s="1"/>
      <c r="F15" s="1"/>
      <c r="G15" s="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"/>
      <c r="B16" s="1" t="s">
        <v>37</v>
      </c>
      <c r="C16" s="1" t="s">
        <v>38</v>
      </c>
      <c r="D16" s="1"/>
      <c r="E16" s="1"/>
      <c r="F16" s="1"/>
      <c r="G16" s="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"/>
      <c r="B17" s="6" t="s">
        <v>39</v>
      </c>
      <c r="C17" s="1" t="s">
        <v>40</v>
      </c>
      <c r="D17" s="1"/>
      <c r="E17" s="1"/>
      <c r="F17" s="1"/>
      <c r="G17" s="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"/>
      <c r="B18" s="6" t="s">
        <v>41</v>
      </c>
      <c r="C18" s="1" t="s">
        <v>42</v>
      </c>
      <c r="D18" s="1"/>
      <c r="E18" s="1"/>
      <c r="F18" s="1"/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4" t="s">
        <v>12</v>
      </c>
      <c r="C21" s="2"/>
      <c r="D21" s="2"/>
      <c r="E21" s="4" t="s">
        <v>43</v>
      </c>
      <c r="F21" s="7"/>
      <c r="G21" s="7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1" t="s">
        <v>13</v>
      </c>
      <c r="C22" s="8">
        <v>0.1</v>
      </c>
      <c r="D22" s="2"/>
      <c r="E22" s="9" t="s">
        <v>44</v>
      </c>
      <c r="F22" s="7"/>
      <c r="G22" s="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1" t="s">
        <v>17</v>
      </c>
      <c r="C23" s="8">
        <v>0.1</v>
      </c>
      <c r="D23" s="2"/>
      <c r="E23" s="9" t="s">
        <v>45</v>
      </c>
      <c r="F23" s="7"/>
      <c r="G23" s="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1" t="s">
        <v>21</v>
      </c>
      <c r="C24" s="8">
        <v>0.1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1" t="s">
        <v>25</v>
      </c>
      <c r="C25" s="8">
        <v>0.1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1" t="s">
        <v>29</v>
      </c>
      <c r="C26" s="8">
        <v>0.1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1" t="s">
        <v>33</v>
      </c>
      <c r="C27" s="8">
        <v>0.1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1" t="s">
        <v>35</v>
      </c>
      <c r="C28" s="8">
        <v>0.1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1" t="s">
        <v>37</v>
      </c>
      <c r="C29" s="8">
        <v>0.1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6" t="s">
        <v>39</v>
      </c>
      <c r="C30" s="8">
        <v>0.1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6" t="s">
        <v>41</v>
      </c>
      <c r="C31" s="8">
        <v>0.1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G60"/>
  <sheetViews>
    <sheetView workbookViewId="0"/>
  </sheetViews>
  <sheetFormatPr defaultColWidth="12.5703125" defaultRowHeight="15.75" customHeight="1"/>
  <cols>
    <col min="2" max="2" width="30.5703125" customWidth="1"/>
    <col min="3" max="5" width="17.42578125" customWidth="1"/>
    <col min="6" max="6" width="17.140625" customWidth="1"/>
    <col min="7" max="7" width="17.42578125" customWidth="1"/>
  </cols>
  <sheetData>
    <row r="3" spans="2:7" ht="12.75">
      <c r="B3" s="10" t="s">
        <v>46</v>
      </c>
    </row>
    <row r="5" spans="2:7" ht="22.5" customHeight="1">
      <c r="B5" s="11" t="s">
        <v>47</v>
      </c>
      <c r="C5" s="11" t="s">
        <v>48</v>
      </c>
      <c r="D5" s="11" t="s">
        <v>49</v>
      </c>
      <c r="E5" s="11" t="s">
        <v>50</v>
      </c>
      <c r="F5" s="11" t="s">
        <v>51</v>
      </c>
      <c r="G5" s="11" t="s">
        <v>52</v>
      </c>
    </row>
    <row r="6" spans="2:7" ht="22.5" customHeight="1">
      <c r="B6" s="12" t="s">
        <v>53</v>
      </c>
      <c r="C6" s="12">
        <v>529883</v>
      </c>
      <c r="D6" s="12">
        <v>519955</v>
      </c>
      <c r="E6" s="12">
        <v>532902</v>
      </c>
      <c r="F6" s="12">
        <v>446460</v>
      </c>
      <c r="G6" s="12">
        <v>378551</v>
      </c>
    </row>
    <row r="7" spans="2:7" ht="22.5" customHeight="1">
      <c r="B7" s="13" t="s">
        <v>54</v>
      </c>
      <c r="C7" s="13">
        <v>8554</v>
      </c>
      <c r="D7" s="13">
        <v>9169</v>
      </c>
      <c r="E7" s="13">
        <v>9650</v>
      </c>
      <c r="F7" s="13">
        <v>11420</v>
      </c>
      <c r="G7" s="13">
        <v>7871</v>
      </c>
    </row>
    <row r="8" spans="2:7" ht="22.5" customHeight="1">
      <c r="B8" s="12" t="s">
        <v>55</v>
      </c>
      <c r="C8" s="12">
        <v>538437</v>
      </c>
      <c r="D8" s="12">
        <v>529124</v>
      </c>
      <c r="E8" s="12">
        <v>542552</v>
      </c>
      <c r="F8" s="12">
        <v>457880</v>
      </c>
      <c r="G8" s="12">
        <v>386422</v>
      </c>
    </row>
    <row r="9" spans="2:7" ht="22.5" customHeight="1">
      <c r="B9" s="12" t="s">
        <v>56</v>
      </c>
      <c r="C9" s="13"/>
      <c r="D9" s="13"/>
      <c r="E9" s="13"/>
      <c r="F9" s="13"/>
      <c r="G9" s="13"/>
    </row>
    <row r="10" spans="2:7" ht="22.5" customHeight="1">
      <c r="B10" s="13" t="s">
        <v>57</v>
      </c>
      <c r="C10" s="13">
        <v>296238</v>
      </c>
      <c r="D10" s="13">
        <v>291283</v>
      </c>
      <c r="E10" s="13">
        <v>276918</v>
      </c>
      <c r="F10" s="13">
        <v>222859</v>
      </c>
      <c r="G10" s="13">
        <v>192973</v>
      </c>
    </row>
    <row r="11" spans="2:7" ht="22.5" customHeight="1">
      <c r="B11" s="13" t="s">
        <v>58</v>
      </c>
      <c r="C11" s="13">
        <v>58377</v>
      </c>
      <c r="D11" s="13">
        <v>66889</v>
      </c>
      <c r="E11" s="13">
        <v>80002</v>
      </c>
      <c r="F11" s="13">
        <v>69571</v>
      </c>
      <c r="G11" s="13">
        <v>49743</v>
      </c>
    </row>
    <row r="12" spans="2:7" ht="22.5" customHeight="1">
      <c r="B12" s="13" t="s">
        <v>59</v>
      </c>
      <c r="C12" s="13">
        <v>3217</v>
      </c>
      <c r="D12" s="13">
        <v>3922</v>
      </c>
      <c r="E12" s="13">
        <v>3256</v>
      </c>
      <c r="F12" s="13">
        <v>1626</v>
      </c>
      <c r="G12" s="13">
        <v>1740</v>
      </c>
    </row>
    <row r="13" spans="2:7" ht="22.5" customHeight="1">
      <c r="B13" s="13" t="s">
        <v>60</v>
      </c>
      <c r="C13" s="13">
        <v>18529</v>
      </c>
      <c r="D13" s="13">
        <v>18171</v>
      </c>
      <c r="E13" s="13">
        <v>19567</v>
      </c>
      <c r="F13" s="13">
        <v>15204</v>
      </c>
      <c r="G13" s="13">
        <v>14577</v>
      </c>
    </row>
    <row r="14" spans="2:7" ht="22.5" customHeight="1">
      <c r="B14" s="13" t="s">
        <v>61</v>
      </c>
      <c r="C14" s="13">
        <v>105357</v>
      </c>
      <c r="D14" s="13">
        <v>112138</v>
      </c>
      <c r="E14" s="13">
        <v>95694</v>
      </c>
      <c r="F14" s="13">
        <v>73830</v>
      </c>
      <c r="G14" s="13">
        <v>67365</v>
      </c>
    </row>
    <row r="15" spans="2:7" ht="22.5" customHeight="1">
      <c r="B15" s="13" t="s">
        <v>62</v>
      </c>
      <c r="C15" s="13">
        <v>273</v>
      </c>
      <c r="D15" s="13">
        <v>4582</v>
      </c>
      <c r="E15" s="13">
        <v>2370</v>
      </c>
      <c r="F15" s="13" t="s">
        <v>63</v>
      </c>
      <c r="G15" s="13">
        <v>507</v>
      </c>
    </row>
    <row r="16" spans="2:7" ht="22.5" customHeight="1">
      <c r="B16" s="12" t="s">
        <v>64</v>
      </c>
      <c r="C16" s="12">
        <v>481991</v>
      </c>
      <c r="D16" s="12">
        <v>496985</v>
      </c>
      <c r="E16" s="12">
        <v>477807</v>
      </c>
      <c r="F16" s="12">
        <v>383090</v>
      </c>
      <c r="G16" s="12">
        <v>326905</v>
      </c>
    </row>
    <row r="17" spans="2:7" ht="22.5" customHeight="1">
      <c r="B17" s="13" t="s">
        <v>65</v>
      </c>
      <c r="C17" s="13">
        <v>86</v>
      </c>
      <c r="D17" s="13">
        <v>105</v>
      </c>
      <c r="E17" s="13">
        <v>-290</v>
      </c>
      <c r="F17" s="13">
        <v>28</v>
      </c>
      <c r="G17" s="13">
        <v>12</v>
      </c>
    </row>
    <row r="18" spans="2:7" ht="22.5" customHeight="1">
      <c r="B18" s="12" t="s">
        <v>66</v>
      </c>
      <c r="C18" s="12">
        <v>56532</v>
      </c>
      <c r="D18" s="12">
        <v>32244</v>
      </c>
      <c r="E18" s="12">
        <v>64455</v>
      </c>
      <c r="F18" s="12">
        <v>74493</v>
      </c>
      <c r="G18" s="12">
        <v>59517</v>
      </c>
    </row>
    <row r="19" spans="2:7" ht="22.5" customHeight="1">
      <c r="B19" s="13" t="s">
        <v>67</v>
      </c>
      <c r="C19" s="13">
        <v>14002</v>
      </c>
      <c r="D19" s="13">
        <v>8276</v>
      </c>
      <c r="E19" s="13">
        <v>15885</v>
      </c>
      <c r="F19" s="13">
        <v>18220</v>
      </c>
      <c r="G19" s="13">
        <v>15999</v>
      </c>
    </row>
    <row r="20" spans="2:7" ht="22.5" customHeight="1">
      <c r="B20" s="12" t="s">
        <v>68</v>
      </c>
      <c r="C20" s="12">
        <v>42530</v>
      </c>
      <c r="D20" s="12">
        <v>23968</v>
      </c>
      <c r="E20" s="12">
        <v>48570</v>
      </c>
      <c r="F20" s="12">
        <v>56273</v>
      </c>
      <c r="G20" s="12">
        <v>43518</v>
      </c>
    </row>
    <row r="21" spans="2:7" ht="22.5" customHeight="1">
      <c r="B21" s="12" t="s">
        <v>69</v>
      </c>
      <c r="C21" s="12">
        <v>47.91</v>
      </c>
      <c r="D21" s="12">
        <v>26.58</v>
      </c>
      <c r="E21" s="12">
        <v>54.54</v>
      </c>
      <c r="F21" s="12">
        <v>62.81</v>
      </c>
      <c r="G21" s="12">
        <v>50.19</v>
      </c>
    </row>
    <row r="24" spans="2:7" ht="12.75">
      <c r="B24" s="14" t="s">
        <v>70</v>
      </c>
    </row>
    <row r="26" spans="2:7" ht="22.5" customHeight="1">
      <c r="B26" s="11" t="s">
        <v>47</v>
      </c>
      <c r="C26" s="11" t="s">
        <v>48</v>
      </c>
      <c r="D26" s="11" t="s">
        <v>49</v>
      </c>
      <c r="E26" s="11" t="s">
        <v>50</v>
      </c>
      <c r="F26" s="11" t="s">
        <v>51</v>
      </c>
      <c r="G26" s="11" t="s">
        <v>52</v>
      </c>
    </row>
    <row r="27" spans="2:7" ht="22.5" customHeight="1">
      <c r="B27" s="12" t="s">
        <v>71</v>
      </c>
      <c r="C27" s="13"/>
      <c r="D27" s="13"/>
      <c r="E27" s="13"/>
      <c r="F27" s="13"/>
      <c r="G27" s="13"/>
    </row>
    <row r="28" spans="2:7" ht="22.5" customHeight="1">
      <c r="B28" s="12" t="s">
        <v>72</v>
      </c>
      <c r="C28" s="13"/>
      <c r="D28" s="13"/>
      <c r="E28" s="13"/>
      <c r="F28" s="13"/>
      <c r="G28" s="13"/>
    </row>
    <row r="29" spans="2:7" ht="22.5" customHeight="1">
      <c r="B29" s="13" t="s">
        <v>73</v>
      </c>
      <c r="C29" s="13">
        <v>23805</v>
      </c>
      <c r="D29" s="13">
        <v>25577</v>
      </c>
      <c r="E29" s="13">
        <v>28622</v>
      </c>
      <c r="F29" s="13">
        <v>26823</v>
      </c>
      <c r="G29" s="13">
        <v>24632</v>
      </c>
    </row>
    <row r="30" spans="2:7" ht="22.5" customHeight="1">
      <c r="B30" s="13" t="s">
        <v>74</v>
      </c>
      <c r="C30" s="13">
        <v>15186</v>
      </c>
      <c r="D30" s="13">
        <v>9605</v>
      </c>
      <c r="E30" s="13">
        <v>10972</v>
      </c>
      <c r="F30" s="13">
        <v>9372</v>
      </c>
      <c r="G30" s="13">
        <v>10072</v>
      </c>
    </row>
    <row r="31" spans="2:7" ht="22.5" customHeight="1">
      <c r="B31" s="13" t="s">
        <v>75</v>
      </c>
      <c r="C31" s="13">
        <v>76993</v>
      </c>
      <c r="D31" s="13">
        <v>75106</v>
      </c>
      <c r="E31" s="13">
        <v>76657</v>
      </c>
      <c r="F31" s="13">
        <v>74258</v>
      </c>
      <c r="G31" s="13">
        <v>40082</v>
      </c>
    </row>
    <row r="32" spans="2:7" ht="22.5" customHeight="1">
      <c r="B32" s="13" t="s">
        <v>76</v>
      </c>
      <c r="C32" s="13">
        <v>23491</v>
      </c>
      <c r="D32" s="13">
        <v>28029</v>
      </c>
      <c r="E32" s="13">
        <v>32316</v>
      </c>
      <c r="F32" s="13">
        <v>36586</v>
      </c>
      <c r="G32" s="13">
        <v>14508</v>
      </c>
    </row>
    <row r="33" spans="2:7" ht="22.5" customHeight="1">
      <c r="B33" s="13" t="s">
        <v>77</v>
      </c>
      <c r="C33" s="13">
        <v>2354</v>
      </c>
      <c r="D33" s="13">
        <v>4122</v>
      </c>
      <c r="E33" s="13">
        <v>4320</v>
      </c>
      <c r="F33" s="13">
        <v>2510</v>
      </c>
      <c r="G33" s="13">
        <v>5478</v>
      </c>
    </row>
    <row r="34" spans="2:7" ht="22.5" customHeight="1">
      <c r="B34" s="13" t="s">
        <v>78</v>
      </c>
      <c r="C34" s="13">
        <v>66306</v>
      </c>
      <c r="D34" s="13">
        <v>63930</v>
      </c>
      <c r="E34" s="13">
        <v>64319</v>
      </c>
      <c r="F34" s="13">
        <v>54601</v>
      </c>
      <c r="G34" s="13">
        <v>49455</v>
      </c>
    </row>
    <row r="35" spans="2:7" ht="22.5" customHeight="1">
      <c r="B35" s="15" t="s">
        <v>79</v>
      </c>
      <c r="C35" s="15">
        <v>208135</v>
      </c>
      <c r="D35" s="15">
        <v>206369</v>
      </c>
      <c r="E35" s="15">
        <v>217206</v>
      </c>
      <c r="F35" s="15">
        <v>204150</v>
      </c>
      <c r="G35" s="15">
        <v>144227</v>
      </c>
    </row>
    <row r="36" spans="2:7" ht="22.5" customHeight="1">
      <c r="B36" s="12" t="s">
        <v>80</v>
      </c>
      <c r="C36" s="13"/>
      <c r="D36" s="13"/>
      <c r="E36" s="13"/>
      <c r="F36" s="13"/>
      <c r="G36" s="13"/>
    </row>
    <row r="37" spans="2:7" ht="22.5" customHeight="1">
      <c r="B37" s="13" t="s">
        <v>77</v>
      </c>
      <c r="C37" s="13">
        <v>32110</v>
      </c>
      <c r="D37" s="13">
        <v>27794</v>
      </c>
      <c r="E37" s="13">
        <v>27832</v>
      </c>
      <c r="F37" s="13">
        <v>44359</v>
      </c>
      <c r="G37" s="13">
        <v>96619</v>
      </c>
    </row>
    <row r="38" spans="2:7" ht="22.5" customHeight="1">
      <c r="B38" s="13" t="s">
        <v>81</v>
      </c>
      <c r="C38" s="13">
        <v>131065</v>
      </c>
      <c r="D38" s="13">
        <v>114011</v>
      </c>
      <c r="E38" s="13">
        <v>128816</v>
      </c>
      <c r="F38" s="13">
        <v>119334</v>
      </c>
      <c r="G38" s="13">
        <v>64728</v>
      </c>
    </row>
    <row r="39" spans="2:7" ht="22.5" customHeight="1">
      <c r="B39" s="13" t="s">
        <v>82</v>
      </c>
      <c r="C39" s="13">
        <v>35150</v>
      </c>
      <c r="D39" s="13">
        <v>43471</v>
      </c>
      <c r="E39" s="13">
        <v>40563</v>
      </c>
      <c r="F39" s="13">
        <v>37889</v>
      </c>
      <c r="G39" s="13">
        <v>26904</v>
      </c>
    </row>
    <row r="40" spans="2:7" ht="22.5" customHeight="1">
      <c r="B40" s="13" t="s">
        <v>83</v>
      </c>
      <c r="C40" s="13">
        <v>38485</v>
      </c>
      <c r="D40" s="13">
        <v>42591</v>
      </c>
      <c r="E40" s="13">
        <v>47116</v>
      </c>
      <c r="F40" s="13">
        <v>42975</v>
      </c>
      <c r="G40" s="13">
        <v>64302</v>
      </c>
    </row>
    <row r="41" spans="2:7" ht="22.5" customHeight="1">
      <c r="B41" s="15" t="s">
        <v>84</v>
      </c>
      <c r="C41" s="15">
        <v>236810</v>
      </c>
      <c r="D41" s="15">
        <v>227867</v>
      </c>
      <c r="E41" s="15">
        <v>244327</v>
      </c>
      <c r="F41" s="15">
        <v>244557</v>
      </c>
      <c r="G41" s="15">
        <v>252553</v>
      </c>
    </row>
    <row r="42" spans="2:7" ht="22.5" customHeight="1">
      <c r="B42" s="12" t="s">
        <v>85</v>
      </c>
      <c r="C42" s="12">
        <v>444945</v>
      </c>
      <c r="D42" s="12">
        <v>434236</v>
      </c>
      <c r="E42" s="12">
        <v>461533</v>
      </c>
      <c r="F42" s="12">
        <v>448707</v>
      </c>
      <c r="G42" s="12">
        <v>396780</v>
      </c>
    </row>
    <row r="43" spans="2:7" ht="22.5" customHeight="1">
      <c r="B43" s="13"/>
      <c r="C43" s="13"/>
      <c r="D43" s="13"/>
      <c r="E43" s="13"/>
      <c r="F43" s="13"/>
      <c r="G43" s="13"/>
    </row>
    <row r="44" spans="2:7" ht="22.5" customHeight="1">
      <c r="B44" s="12" t="s">
        <v>86</v>
      </c>
      <c r="C44" s="13"/>
      <c r="D44" s="13"/>
      <c r="E44" s="13"/>
      <c r="F44" s="13"/>
      <c r="G44" s="13"/>
    </row>
    <row r="45" spans="2:7" ht="22.5" customHeight="1">
      <c r="B45" s="12" t="s">
        <v>87</v>
      </c>
      <c r="C45" s="13"/>
      <c r="D45" s="13"/>
      <c r="E45" s="13"/>
      <c r="F45" s="13"/>
      <c r="G45" s="13"/>
    </row>
    <row r="46" spans="2:7" ht="22.5" customHeight="1">
      <c r="B46" s="13" t="s">
        <v>88</v>
      </c>
      <c r="C46" s="13">
        <v>4424</v>
      </c>
      <c r="D46" s="13">
        <v>4423</v>
      </c>
      <c r="E46" s="13">
        <v>4400</v>
      </c>
      <c r="F46" s="13">
        <v>4388</v>
      </c>
      <c r="G46" s="13">
        <v>4370</v>
      </c>
    </row>
    <row r="47" spans="2:7" ht="22.5" customHeight="1">
      <c r="B47" s="13" t="s">
        <v>89</v>
      </c>
      <c r="C47" s="13">
        <v>269191</v>
      </c>
      <c r="D47" s="13">
        <v>262281</v>
      </c>
      <c r="E47" s="13">
        <v>274845</v>
      </c>
      <c r="F47" s="13">
        <v>264469</v>
      </c>
      <c r="G47" s="13">
        <v>244280</v>
      </c>
    </row>
    <row r="48" spans="2:7" ht="22.5" customHeight="1">
      <c r="B48" s="13" t="s">
        <v>90</v>
      </c>
      <c r="C48" s="13">
        <v>4302</v>
      </c>
      <c r="D48" s="13">
        <v>4000</v>
      </c>
      <c r="E48" s="13">
        <v>4702</v>
      </c>
      <c r="F48" s="13">
        <v>4954</v>
      </c>
      <c r="G48" s="13">
        <v>3795</v>
      </c>
    </row>
    <row r="49" spans="2:7" ht="22.5" customHeight="1">
      <c r="B49" s="15" t="s">
        <v>91</v>
      </c>
      <c r="C49" s="15">
        <v>277917</v>
      </c>
      <c r="D49" s="15">
        <v>270704</v>
      </c>
      <c r="E49" s="15">
        <v>283947</v>
      </c>
      <c r="F49" s="15">
        <v>273811</v>
      </c>
      <c r="G49" s="15">
        <v>252445</v>
      </c>
    </row>
    <row r="50" spans="2:7" ht="22.5" customHeight="1">
      <c r="B50" s="12" t="s">
        <v>92</v>
      </c>
      <c r="C50" s="13"/>
      <c r="D50" s="13"/>
      <c r="E50" s="13"/>
      <c r="F50" s="13"/>
      <c r="G50" s="13"/>
    </row>
    <row r="51" spans="2:7" ht="22.5" customHeight="1">
      <c r="B51" s="12" t="s">
        <v>93</v>
      </c>
      <c r="C51" s="13"/>
      <c r="D51" s="13"/>
      <c r="E51" s="13"/>
      <c r="F51" s="13"/>
      <c r="G51" s="13"/>
    </row>
    <row r="52" spans="2:7" ht="22.5" customHeight="1">
      <c r="B52" s="13" t="s">
        <v>94</v>
      </c>
      <c r="C52" s="13">
        <v>10500</v>
      </c>
      <c r="D52" s="13">
        <v>11500</v>
      </c>
      <c r="E52" s="13">
        <v>9191</v>
      </c>
      <c r="F52" s="13">
        <v>8620</v>
      </c>
      <c r="G52" s="13">
        <v>9800</v>
      </c>
    </row>
    <row r="53" spans="2:7" ht="22.5" customHeight="1">
      <c r="B53" s="13" t="s">
        <v>95</v>
      </c>
      <c r="C53" s="13">
        <v>22000</v>
      </c>
      <c r="D53" s="13">
        <v>20572</v>
      </c>
      <c r="E53" s="13">
        <v>22881</v>
      </c>
      <c r="F53" s="13">
        <v>28924</v>
      </c>
      <c r="G53" s="13">
        <v>22627</v>
      </c>
    </row>
    <row r="54" spans="2:7" ht="22.5" customHeight="1">
      <c r="B54" s="15" t="s">
        <v>96</v>
      </c>
      <c r="C54" s="15">
        <v>32500</v>
      </c>
      <c r="D54" s="15">
        <v>32072</v>
      </c>
      <c r="E54" s="15">
        <v>32072</v>
      </c>
      <c r="F54" s="15">
        <v>37544</v>
      </c>
      <c r="G54" s="15">
        <v>32427</v>
      </c>
    </row>
    <row r="55" spans="2:7" ht="22.5" customHeight="1">
      <c r="B55" s="12" t="s">
        <v>97</v>
      </c>
      <c r="C55" s="13"/>
      <c r="D55" s="13"/>
      <c r="E55" s="13"/>
      <c r="F55" s="13"/>
      <c r="G55" s="13"/>
    </row>
    <row r="56" spans="2:7" ht="22.5" customHeight="1">
      <c r="B56" s="13" t="s">
        <v>94</v>
      </c>
      <c r="C56" s="13">
        <v>15470</v>
      </c>
      <c r="D56" s="13">
        <v>16857</v>
      </c>
      <c r="E56" s="13">
        <v>18211</v>
      </c>
      <c r="F56" s="13">
        <v>17564</v>
      </c>
      <c r="G56" s="13">
        <v>21300</v>
      </c>
    </row>
    <row r="57" spans="2:7" ht="22.5" customHeight="1">
      <c r="B57" s="13" t="s">
        <v>98</v>
      </c>
      <c r="C57" s="13">
        <v>45200</v>
      </c>
      <c r="D57" s="13">
        <v>43846</v>
      </c>
      <c r="E57" s="13">
        <v>43846</v>
      </c>
      <c r="F57" s="13">
        <v>40947</v>
      </c>
      <c r="G57" s="13">
        <v>36150</v>
      </c>
    </row>
    <row r="58" spans="2:7" ht="22.5" customHeight="1">
      <c r="B58" s="13" t="s">
        <v>99</v>
      </c>
      <c r="C58" s="13">
        <v>73858</v>
      </c>
      <c r="D58" s="13">
        <v>70757</v>
      </c>
      <c r="E58" s="13">
        <v>83457</v>
      </c>
      <c r="F58" s="13">
        <v>78841</v>
      </c>
      <c r="G58" s="13">
        <v>54458</v>
      </c>
    </row>
    <row r="59" spans="2:7" ht="22.5" customHeight="1">
      <c r="B59" s="15" t="s">
        <v>100</v>
      </c>
      <c r="C59" s="15">
        <v>134528</v>
      </c>
      <c r="D59" s="15">
        <v>131460</v>
      </c>
      <c r="E59" s="15">
        <v>145514</v>
      </c>
      <c r="F59" s="15">
        <v>137352</v>
      </c>
      <c r="G59" s="15">
        <v>111908</v>
      </c>
    </row>
    <row r="60" spans="2:7" ht="22.5" customHeight="1">
      <c r="B60" s="12" t="s">
        <v>101</v>
      </c>
      <c r="C60" s="12">
        <v>444945</v>
      </c>
      <c r="D60" s="12">
        <v>434236</v>
      </c>
      <c r="E60" s="12">
        <v>461533</v>
      </c>
      <c r="F60" s="12">
        <v>448707</v>
      </c>
      <c r="G60" s="12">
        <v>396780</v>
      </c>
    </row>
  </sheetData>
  <dataValidations count="1">
    <dataValidation type="custom" allowBlank="1" showDropDown="1" sqref="C6:G21 C27:G60" xr:uid="{00000000-0002-0000-0100-000000000000}">
      <formula1>AND(ISNUMBER(C6),(NOT(OR(NOT(ISERROR(DATEVALUE(C6))), AND(ISNUMBER(C6), LEFT(CELL("format", C6))="D")))))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1023"/>
  <sheetViews>
    <sheetView workbookViewId="0"/>
  </sheetViews>
  <sheetFormatPr defaultColWidth="12.5703125" defaultRowHeight="15.75" customHeight="1"/>
  <cols>
    <col min="1" max="1" width="29.28515625" customWidth="1"/>
    <col min="2" max="2" width="15.5703125" customWidth="1"/>
    <col min="3" max="3" width="14.85546875" customWidth="1"/>
    <col min="4" max="4" width="14.5703125" customWidth="1"/>
    <col min="5" max="5" width="14.28515625" customWidth="1"/>
    <col min="6" max="6" width="15.42578125" customWidth="1"/>
    <col min="9" max="9" width="20.5703125" customWidth="1"/>
    <col min="12" max="12" width="15" customWidth="1"/>
    <col min="13" max="13" width="14.5703125" customWidth="1"/>
    <col min="14" max="14" width="16.140625" customWidth="1"/>
    <col min="15" max="15" width="14.42578125" customWidth="1"/>
    <col min="16" max="16" width="14.5703125" customWidth="1"/>
    <col min="17" max="17" width="13.42578125" customWidth="1"/>
  </cols>
  <sheetData>
    <row r="1" spans="1:45" ht="15.75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7"/>
      <c r="L1" s="17"/>
      <c r="M1" s="17"/>
      <c r="N1" s="17"/>
      <c r="O1" s="17"/>
      <c r="P1" s="17"/>
      <c r="Q1" s="17"/>
      <c r="R1" s="17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</row>
    <row r="2" spans="1:45" ht="15.75" customHeight="1">
      <c r="A2" s="115" t="s">
        <v>102</v>
      </c>
      <c r="B2" s="116"/>
      <c r="C2" s="116"/>
      <c r="D2" s="116"/>
      <c r="E2" s="116"/>
      <c r="F2" s="117"/>
      <c r="G2" s="17"/>
      <c r="H2" s="17"/>
      <c r="I2" s="112" t="s">
        <v>103</v>
      </c>
      <c r="J2" s="113"/>
      <c r="K2" s="113"/>
      <c r="L2" s="113"/>
      <c r="M2" s="113"/>
      <c r="N2" s="114"/>
      <c r="R2" s="17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</row>
    <row r="3" spans="1:45" ht="15.75" customHeight="1">
      <c r="A3" s="18" t="s">
        <v>104</v>
      </c>
      <c r="B3" s="18" t="s">
        <v>105</v>
      </c>
      <c r="C3" s="18" t="s">
        <v>106</v>
      </c>
      <c r="D3" s="18" t="s">
        <v>107</v>
      </c>
      <c r="E3" s="18" t="s">
        <v>108</v>
      </c>
      <c r="F3" s="18" t="s">
        <v>109</v>
      </c>
      <c r="G3" s="17"/>
      <c r="H3" s="17"/>
      <c r="I3" s="18" t="s">
        <v>104</v>
      </c>
      <c r="J3" s="18" t="s">
        <v>105</v>
      </c>
      <c r="K3" s="18" t="s">
        <v>106</v>
      </c>
      <c r="L3" s="18" t="s">
        <v>107</v>
      </c>
      <c r="M3" s="18" t="s">
        <v>108</v>
      </c>
      <c r="N3" s="18" t="s">
        <v>109</v>
      </c>
      <c r="R3" s="17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5" ht="15.75" customHeight="1">
      <c r="A4" s="18" t="s">
        <v>110</v>
      </c>
      <c r="B4" s="19">
        <f>S45/S292-1</f>
        <v>0.79725419163866507</v>
      </c>
      <c r="C4" s="19">
        <f>Y45/Y291-1</f>
        <v>0.18831054859826213</v>
      </c>
      <c r="D4" s="19">
        <f>AE45/AE293-1</f>
        <v>-5.8188537471953738E-3</v>
      </c>
      <c r="E4" s="19">
        <f>AK45/AK287-1</f>
        <v>0.27423133570625779</v>
      </c>
      <c r="F4" s="19">
        <f>AQ45/AQ291-1</f>
        <v>6.0120431390066065E-2</v>
      </c>
      <c r="G4" s="17"/>
      <c r="H4" s="17"/>
      <c r="I4" s="18" t="s">
        <v>111</v>
      </c>
      <c r="J4" s="18" t="s">
        <v>63</v>
      </c>
      <c r="K4" s="18" t="s">
        <v>63</v>
      </c>
      <c r="L4" s="18" t="s">
        <v>63</v>
      </c>
      <c r="M4" s="18">
        <v>12</v>
      </c>
      <c r="N4" s="18">
        <v>15</v>
      </c>
      <c r="R4" s="17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</row>
    <row r="5" spans="1:45" ht="15.75" customHeight="1">
      <c r="A5" s="18" t="s">
        <v>112</v>
      </c>
      <c r="B5" s="19">
        <f t="shared" ref="B5:F5" si="0">B41</f>
        <v>6.0062450592885355E-2</v>
      </c>
      <c r="C5" s="19">
        <f t="shared" si="0"/>
        <v>6.3836475409836099E-2</v>
      </c>
      <c r="D5" s="19">
        <f t="shared" si="0"/>
        <v>7.3322131147540978E-2</v>
      </c>
      <c r="E5" s="19">
        <f t="shared" si="0"/>
        <v>7.1617813765182128E-2</v>
      </c>
      <c r="F5" s="19">
        <f t="shared" si="0"/>
        <v>6.8863636363636349E-2</v>
      </c>
      <c r="G5" s="17"/>
      <c r="H5" s="17"/>
      <c r="I5" s="18" t="s">
        <v>113</v>
      </c>
      <c r="J5" s="18">
        <v>15</v>
      </c>
      <c r="K5" s="18">
        <v>15</v>
      </c>
      <c r="L5" s="18">
        <v>32</v>
      </c>
      <c r="M5" s="18">
        <v>28</v>
      </c>
      <c r="N5" s="18">
        <v>30</v>
      </c>
      <c r="R5" s="17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</row>
    <row r="6" spans="1:45" ht="15.75" customHeight="1">
      <c r="A6" s="18" t="s">
        <v>114</v>
      </c>
      <c r="B6" s="19">
        <f t="shared" ref="B6:F6" si="1">B4-B5</f>
        <v>0.73719174104577967</v>
      </c>
      <c r="C6" s="19">
        <f t="shared" si="1"/>
        <v>0.12447407318842603</v>
      </c>
      <c r="D6" s="19">
        <f t="shared" si="1"/>
        <v>-7.9140984894736352E-2</v>
      </c>
      <c r="E6" s="19">
        <f t="shared" si="1"/>
        <v>0.20261352194107568</v>
      </c>
      <c r="F6" s="19">
        <f t="shared" si="1"/>
        <v>-8.7432049735702844E-3</v>
      </c>
      <c r="G6" s="17"/>
      <c r="H6" s="17"/>
      <c r="I6" s="18" t="s">
        <v>115</v>
      </c>
      <c r="J6" s="18">
        <v>30</v>
      </c>
      <c r="K6" s="18">
        <v>30</v>
      </c>
      <c r="L6" s="18">
        <v>18</v>
      </c>
      <c r="M6" s="18" t="s">
        <v>63</v>
      </c>
      <c r="N6" s="18">
        <v>15</v>
      </c>
      <c r="R6" s="17"/>
      <c r="S6" s="16"/>
      <c r="T6" s="20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15.75" customHeight="1">
      <c r="A7" s="18" t="s">
        <v>116</v>
      </c>
      <c r="B7" s="18">
        <f>SLOPE(T45:T292,U45:U292)</f>
        <v>-5.4268513686420586E-3</v>
      </c>
      <c r="C7" s="18">
        <f>SLOPE(Z45:Z291,AA45:AA291)</f>
        <v>0.10687713380216389</v>
      </c>
      <c r="D7" s="18">
        <f>SLOPE(AF45:AF293,AG45:AG293)</f>
        <v>9.0141316003429992E-2</v>
      </c>
      <c r="E7" s="18">
        <f>SLOPE(AL45:AL287,AM45:AM287)</f>
        <v>0.23618984284104061</v>
      </c>
      <c r="F7" s="18">
        <f>SLOPE(AR45:AR289,AS45:AS289)</f>
        <v>0.34649014450469506</v>
      </c>
      <c r="G7" s="17"/>
      <c r="H7" s="17"/>
      <c r="I7" s="18" t="s">
        <v>117</v>
      </c>
      <c r="J7" s="18">
        <f t="shared" ref="J7:N7" si="2">SUM(J4:J6)</f>
        <v>45</v>
      </c>
      <c r="K7" s="18">
        <f t="shared" si="2"/>
        <v>45</v>
      </c>
      <c r="L7" s="18">
        <f t="shared" si="2"/>
        <v>50</v>
      </c>
      <c r="M7" s="18">
        <f t="shared" si="2"/>
        <v>40</v>
      </c>
      <c r="N7" s="18">
        <f t="shared" si="2"/>
        <v>60</v>
      </c>
      <c r="R7" s="17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15.75" customHeight="1">
      <c r="A8" s="21" t="s">
        <v>118</v>
      </c>
      <c r="B8" s="22">
        <f t="shared" ref="B8:F8" si="3">B5+(B7*B6)</f>
        <v>5.606182058403944E-2</v>
      </c>
      <c r="C8" s="22">
        <f t="shared" si="3"/>
        <v>7.7139907584895848E-2</v>
      </c>
      <c r="D8" s="22">
        <f t="shared" si="3"/>
        <v>6.6188258619321871E-2</v>
      </c>
      <c r="E8" s="22">
        <f t="shared" si="3"/>
        <v>0.11947306966991453</v>
      </c>
      <c r="F8" s="22">
        <f t="shared" si="3"/>
        <v>6.5834202008909812E-2</v>
      </c>
      <c r="G8" s="17"/>
      <c r="H8" s="17"/>
      <c r="I8" s="18" t="s">
        <v>119</v>
      </c>
      <c r="J8" s="18">
        <v>991.45</v>
      </c>
      <c r="K8" s="18">
        <v>1499.5</v>
      </c>
      <c r="L8" s="18">
        <v>1101.8499999999999</v>
      </c>
      <c r="M8" s="18">
        <v>1248.0999999999999</v>
      </c>
      <c r="N8" s="18">
        <v>1418.25</v>
      </c>
      <c r="R8" s="17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</row>
    <row r="9" spans="1:45" ht="15.75" customHeight="1">
      <c r="A9" s="17"/>
      <c r="B9" s="17"/>
      <c r="C9" s="17"/>
      <c r="D9" s="17"/>
      <c r="E9" s="17"/>
      <c r="F9" s="17"/>
      <c r="G9" s="17"/>
      <c r="H9" s="17"/>
      <c r="I9" s="18" t="s">
        <v>120</v>
      </c>
      <c r="J9" s="19">
        <v>0.54379999999999995</v>
      </c>
      <c r="K9" s="19">
        <v>0.112</v>
      </c>
      <c r="L9" s="19">
        <v>-0.23630000000000001</v>
      </c>
      <c r="M9" s="19">
        <v>-1.0155000000000001</v>
      </c>
      <c r="N9" s="19">
        <v>-0.19969999999999999</v>
      </c>
      <c r="R9" s="17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</row>
    <row r="10" spans="1:45" ht="15.75" customHeight="1">
      <c r="A10" s="118" t="s">
        <v>121</v>
      </c>
      <c r="B10" s="110"/>
      <c r="C10" s="110"/>
      <c r="D10" s="110"/>
      <c r="E10" s="110"/>
      <c r="F10" s="110"/>
      <c r="G10" s="17"/>
      <c r="H10" s="17"/>
      <c r="I10" s="18" t="s">
        <v>122</v>
      </c>
      <c r="J10" s="19">
        <v>0.1694</v>
      </c>
      <c r="K10" s="19">
        <v>0.19</v>
      </c>
      <c r="L10" s="19">
        <v>0.15210000000000001</v>
      </c>
      <c r="M10" s="19">
        <v>9.1800000000000007E-2</v>
      </c>
      <c r="N10" s="19">
        <v>0.15629999999999999</v>
      </c>
      <c r="R10" s="17"/>
      <c r="S10" s="24"/>
      <c r="T10" s="24"/>
      <c r="U10" s="24"/>
      <c r="V10" s="24"/>
      <c r="W10" s="24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15.75" customHeight="1">
      <c r="A11" s="110"/>
      <c r="B11" s="110"/>
      <c r="C11" s="110"/>
      <c r="D11" s="110"/>
      <c r="E11" s="110"/>
      <c r="F11" s="110"/>
      <c r="G11" s="17"/>
      <c r="H11" s="17"/>
      <c r="I11" s="18" t="s">
        <v>123</v>
      </c>
      <c r="J11" s="25">
        <v>9.2119719999999988E-2</v>
      </c>
      <c r="K11" s="25">
        <v>2.128E-2</v>
      </c>
      <c r="L11" s="25">
        <v>-3.5941230000000005E-2</v>
      </c>
      <c r="M11" s="25">
        <v>-9.3222900000000011E-2</v>
      </c>
      <c r="N11" s="25">
        <v>-3.1213109999999999E-2</v>
      </c>
      <c r="R11" s="17"/>
      <c r="S11" s="24"/>
      <c r="T11" s="24"/>
      <c r="U11" s="24"/>
      <c r="V11" s="24"/>
      <c r="W11" s="24"/>
      <c r="X11" s="24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</row>
    <row r="12" spans="1:45" ht="15.75" customHeight="1">
      <c r="A12" s="110"/>
      <c r="B12" s="110"/>
      <c r="C12" s="110"/>
      <c r="D12" s="110"/>
      <c r="E12" s="110"/>
      <c r="F12" s="110"/>
      <c r="G12" s="17"/>
      <c r="H12" s="17"/>
      <c r="I12" s="18" t="s">
        <v>124</v>
      </c>
      <c r="J12" s="26">
        <f t="shared" ref="J12:N12" si="4">J7*(1+J11)</f>
        <v>49.145387399999997</v>
      </c>
      <c r="K12" s="26">
        <f t="shared" si="4"/>
        <v>45.957599999999999</v>
      </c>
      <c r="L12" s="26">
        <f t="shared" si="4"/>
        <v>48.202938499999995</v>
      </c>
      <c r="M12" s="26">
        <f t="shared" si="4"/>
        <v>36.271084000000002</v>
      </c>
      <c r="N12" s="26">
        <f t="shared" si="4"/>
        <v>58.127213399999995</v>
      </c>
      <c r="R12" s="17"/>
      <c r="S12" s="27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</row>
    <row r="13" spans="1:45" ht="15.75" customHeight="1">
      <c r="A13" s="110"/>
      <c r="B13" s="110"/>
      <c r="C13" s="110"/>
      <c r="D13" s="110"/>
      <c r="E13" s="110"/>
      <c r="F13" s="110"/>
      <c r="G13" s="17"/>
      <c r="H13" s="17"/>
      <c r="I13" s="18" t="s">
        <v>125</v>
      </c>
      <c r="J13" s="19">
        <f t="shared" ref="J13:N13" si="5">J12/J8</f>
        <v>4.9569204095012351E-2</v>
      </c>
      <c r="K13" s="19">
        <f t="shared" si="5"/>
        <v>3.06486162054018E-2</v>
      </c>
      <c r="L13" s="19">
        <f t="shared" si="5"/>
        <v>4.3747278213912964E-2</v>
      </c>
      <c r="M13" s="19">
        <f t="shared" si="5"/>
        <v>2.9061039980770774E-2</v>
      </c>
      <c r="N13" s="19">
        <f t="shared" si="5"/>
        <v>4.0985167213114751E-2</v>
      </c>
      <c r="R13" s="17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</row>
    <row r="14" spans="1:45" ht="15.75" customHeight="1">
      <c r="G14" s="17"/>
      <c r="H14" s="17"/>
      <c r="I14" s="21" t="s">
        <v>126</v>
      </c>
      <c r="J14" s="22">
        <f t="shared" ref="J14:N14" si="6">J13+J11</f>
        <v>0.14168892409501233</v>
      </c>
      <c r="K14" s="22">
        <f t="shared" si="6"/>
        <v>5.1928616205401804E-2</v>
      </c>
      <c r="L14" s="22">
        <f t="shared" si="6"/>
        <v>7.8060482139129597E-3</v>
      </c>
      <c r="M14" s="22">
        <f t="shared" si="6"/>
        <v>-6.4161860019229244E-2</v>
      </c>
      <c r="N14" s="22">
        <f t="shared" si="6"/>
        <v>9.7720572131147522E-3</v>
      </c>
      <c r="R14" s="17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</row>
    <row r="15" spans="1:45" ht="15.75" customHeight="1"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</row>
    <row r="16" spans="1:45" ht="15.75" customHeight="1">
      <c r="G16" s="17"/>
      <c r="H16" s="17"/>
      <c r="I16" s="17"/>
      <c r="J16" s="17"/>
      <c r="K16" s="17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</row>
    <row r="17" spans="1:45" ht="15.75" customHeight="1">
      <c r="G17" s="17"/>
      <c r="H17" s="17"/>
      <c r="I17" s="17"/>
      <c r="J17" s="17"/>
      <c r="K17" s="17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</row>
    <row r="18" spans="1:45" ht="15.75" customHeight="1">
      <c r="A18" s="28" t="s">
        <v>127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6"/>
      <c r="M18" s="29" t="s">
        <v>127</v>
      </c>
      <c r="N18" s="30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</row>
    <row r="19" spans="1:45" ht="15.75" customHeight="1">
      <c r="A19" s="31" t="s">
        <v>128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6"/>
      <c r="M19" s="32" t="s">
        <v>129</v>
      </c>
      <c r="N19" s="33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</row>
    <row r="20" spans="1:45" ht="15.75" customHeight="1">
      <c r="A20" s="31" t="s">
        <v>130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6"/>
      <c r="M20" s="32" t="s">
        <v>131</v>
      </c>
      <c r="N20" s="33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</row>
    <row r="21" spans="1:45" ht="15.75" customHeight="1">
      <c r="A21" s="34" t="s">
        <v>132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6"/>
      <c r="M21" s="35" t="s">
        <v>133</v>
      </c>
      <c r="N21" s="3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</row>
    <row r="22" spans="1:45" ht="15.75" customHeight="1">
      <c r="A22" s="31" t="s">
        <v>134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</row>
    <row r="23" spans="1:45" ht="15.75" customHeight="1">
      <c r="A23" s="37" t="s">
        <v>135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</row>
    <row r="24" spans="1:45" ht="15.75" customHeight="1">
      <c r="A24" s="38"/>
      <c r="G24" s="17"/>
      <c r="H24" s="17"/>
      <c r="I24" s="17"/>
      <c r="J24" s="17"/>
      <c r="K24" s="17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</row>
    <row r="25" spans="1:45" ht="15.75" customHeight="1">
      <c r="A25" s="39"/>
      <c r="G25" s="17"/>
      <c r="H25" s="17"/>
      <c r="I25" s="17"/>
      <c r="J25" s="17"/>
      <c r="K25" s="17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</row>
    <row r="26" spans="1:45" ht="15.75" customHeight="1">
      <c r="G26" s="17"/>
      <c r="H26" s="17"/>
      <c r="I26" s="17"/>
      <c r="J26" s="17"/>
      <c r="K26" s="17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</row>
    <row r="27" spans="1:45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6"/>
      <c r="M27" s="16"/>
      <c r="N27" s="16"/>
      <c r="O27" s="16"/>
      <c r="P27" s="16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</row>
    <row r="28" spans="1:45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6"/>
      <c r="M28" s="16"/>
      <c r="N28" s="16"/>
      <c r="O28" s="16"/>
      <c r="P28" s="16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</row>
    <row r="29" spans="1:45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6"/>
      <c r="M29" s="16"/>
      <c r="N29" s="16"/>
      <c r="O29" s="16"/>
      <c r="P29" s="16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</row>
    <row r="30" spans="1:45">
      <c r="A30" s="17"/>
      <c r="B30" s="17"/>
      <c r="C30" s="119" t="s">
        <v>136</v>
      </c>
      <c r="D30" s="116"/>
      <c r="E30" s="116"/>
      <c r="F30" s="116"/>
      <c r="G30" s="116"/>
      <c r="H30" s="116"/>
      <c r="I30" s="116"/>
      <c r="J30" s="116"/>
      <c r="K30" s="116"/>
      <c r="L30" s="117"/>
      <c r="M30" s="16"/>
      <c r="N30" s="16"/>
      <c r="O30" s="16"/>
      <c r="P30" s="16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</row>
    <row r="31" spans="1:45">
      <c r="A31" s="17"/>
      <c r="B31" s="17"/>
      <c r="C31" s="120"/>
      <c r="D31" s="110"/>
      <c r="E31" s="110"/>
      <c r="F31" s="110"/>
      <c r="G31" s="110"/>
      <c r="H31" s="110"/>
      <c r="I31" s="110"/>
      <c r="J31" s="110"/>
      <c r="K31" s="110"/>
      <c r="L31" s="121"/>
      <c r="M31" s="16"/>
      <c r="N31" s="16"/>
      <c r="O31" s="16"/>
      <c r="P31" s="16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</row>
    <row r="32" spans="1:45">
      <c r="A32" s="17"/>
      <c r="B32" s="17"/>
      <c r="C32" s="120"/>
      <c r="D32" s="110"/>
      <c r="E32" s="110"/>
      <c r="F32" s="110"/>
      <c r="G32" s="110"/>
      <c r="H32" s="110"/>
      <c r="I32" s="110"/>
      <c r="J32" s="110"/>
      <c r="K32" s="110"/>
      <c r="L32" s="121"/>
      <c r="M32" s="16"/>
      <c r="N32" s="16"/>
      <c r="O32" s="16"/>
      <c r="P32" s="16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</row>
    <row r="33" spans="1:45">
      <c r="A33" s="17"/>
      <c r="B33" s="17"/>
      <c r="C33" s="122"/>
      <c r="D33" s="123"/>
      <c r="E33" s="123"/>
      <c r="F33" s="123"/>
      <c r="G33" s="123"/>
      <c r="H33" s="123"/>
      <c r="I33" s="123"/>
      <c r="J33" s="123"/>
      <c r="K33" s="123"/>
      <c r="L33" s="124"/>
      <c r="M33" s="16"/>
      <c r="N33" s="16"/>
      <c r="O33" s="16"/>
      <c r="P33" s="16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</row>
    <row r="34" spans="1:4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6"/>
      <c r="M34" s="16"/>
      <c r="N34" s="16"/>
      <c r="O34" s="16"/>
      <c r="P34" s="16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</row>
    <row r="35" spans="1:4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6"/>
      <c r="M35" s="16"/>
      <c r="N35" s="16"/>
      <c r="O35" s="16"/>
      <c r="P35" s="16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</row>
    <row r="36" spans="1:4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6"/>
      <c r="M36" s="16"/>
      <c r="N36" s="16"/>
      <c r="O36" s="16"/>
      <c r="P36" s="16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</row>
    <row r="37" spans="1:4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6"/>
      <c r="M37" s="16"/>
      <c r="N37" s="16"/>
      <c r="O37" s="16"/>
      <c r="P37" s="16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</row>
    <row r="38" spans="1:45">
      <c r="A38" s="41"/>
      <c r="B38" s="41"/>
      <c r="C38" s="41"/>
      <c r="D38" s="41"/>
      <c r="E38" s="41"/>
      <c r="F38" s="41"/>
      <c r="G38" s="17"/>
      <c r="H38" s="17"/>
      <c r="I38" s="17"/>
      <c r="J38" s="17"/>
      <c r="K38" s="17"/>
      <c r="L38" s="16"/>
      <c r="M38" s="16"/>
      <c r="N38" s="16"/>
      <c r="O38" s="16"/>
      <c r="P38" s="16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</row>
    <row r="39" spans="1:45">
      <c r="A39" s="41"/>
      <c r="B39" s="41"/>
      <c r="C39" s="41"/>
      <c r="D39" s="41"/>
      <c r="E39" s="41"/>
      <c r="F39" s="41"/>
      <c r="G39" s="17"/>
      <c r="H39" s="17"/>
      <c r="I39" s="17"/>
      <c r="J39" s="17"/>
      <c r="K39" s="17"/>
      <c r="L39" s="16"/>
      <c r="M39" s="16"/>
      <c r="N39" s="16"/>
      <c r="O39" s="16"/>
      <c r="P39" s="16"/>
    </row>
    <row r="40" spans="1:45">
      <c r="A40" s="18" t="s">
        <v>137</v>
      </c>
      <c r="B40" s="18" t="s">
        <v>105</v>
      </c>
      <c r="C40" s="18" t="s">
        <v>106</v>
      </c>
      <c r="D40" s="18" t="s">
        <v>107</v>
      </c>
      <c r="E40" s="18" t="s">
        <v>108</v>
      </c>
      <c r="F40" s="18" t="s">
        <v>109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</row>
    <row r="41" spans="1:45">
      <c r="A41" s="42" t="s">
        <v>138</v>
      </c>
      <c r="B41" s="43">
        <f>AVERAGE(B47:B301)</f>
        <v>6.0062450592885355E-2</v>
      </c>
      <c r="C41" s="43">
        <f>AVERAGE(E47:E292)</f>
        <v>6.3836475409836099E-2</v>
      </c>
      <c r="D41" s="43">
        <f>AVERAGE(H47:H292)</f>
        <v>7.3322131147540978E-2</v>
      </c>
      <c r="E41" s="43">
        <f>AVERAGE(K47:K295)</f>
        <v>7.1617813765182128E-2</v>
      </c>
      <c r="F41" s="43">
        <f>AVERAGE(N47:N290)</f>
        <v>6.8863636363636349E-2</v>
      </c>
      <c r="G41" s="44"/>
      <c r="H41" s="44"/>
      <c r="I41" s="44"/>
      <c r="J41" s="44"/>
      <c r="K41" s="44"/>
      <c r="L41" s="44"/>
      <c r="M41" s="44"/>
      <c r="N41" s="44"/>
      <c r="O41" s="16"/>
      <c r="P41" s="16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</row>
    <row r="42" spans="1:45" ht="12.75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16"/>
      <c r="P42" s="16"/>
      <c r="Q42" s="125" t="s">
        <v>139</v>
      </c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</row>
    <row r="43" spans="1:45" ht="12.75">
      <c r="A43" s="126" t="s">
        <v>140</v>
      </c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6"/>
      <c r="P43" s="16"/>
      <c r="Q43" s="111" t="s">
        <v>52</v>
      </c>
      <c r="R43" s="110"/>
      <c r="S43" s="110"/>
      <c r="T43" s="110"/>
      <c r="U43" s="110"/>
      <c r="V43" s="16"/>
      <c r="W43" s="111" t="s">
        <v>51</v>
      </c>
      <c r="X43" s="110"/>
      <c r="Y43" s="110"/>
      <c r="Z43" s="110"/>
      <c r="AA43" s="110"/>
      <c r="AB43" s="45"/>
      <c r="AC43" s="111" t="s">
        <v>50</v>
      </c>
      <c r="AD43" s="110"/>
      <c r="AE43" s="110"/>
      <c r="AF43" s="110"/>
      <c r="AG43" s="110"/>
      <c r="AH43" s="45"/>
      <c r="AI43" s="111" t="s">
        <v>49</v>
      </c>
      <c r="AJ43" s="110"/>
      <c r="AK43" s="110"/>
      <c r="AL43" s="110"/>
      <c r="AM43" s="110"/>
      <c r="AN43" s="45"/>
      <c r="AO43" s="111" t="s">
        <v>48</v>
      </c>
      <c r="AP43" s="110"/>
      <c r="AQ43" s="110"/>
      <c r="AR43" s="110"/>
      <c r="AS43" s="110"/>
    </row>
    <row r="44" spans="1:45" ht="15">
      <c r="A44" s="46" t="s">
        <v>141</v>
      </c>
      <c r="B44" s="46" t="s">
        <v>142</v>
      </c>
      <c r="C44" s="16"/>
      <c r="D44" s="46" t="s">
        <v>141</v>
      </c>
      <c r="E44" s="46" t="s">
        <v>142</v>
      </c>
      <c r="F44" s="16"/>
      <c r="G44" s="46" t="s">
        <v>141</v>
      </c>
      <c r="H44" s="46" t="s">
        <v>142</v>
      </c>
      <c r="I44" s="16"/>
      <c r="J44" s="46" t="s">
        <v>141</v>
      </c>
      <c r="K44" s="46" t="s">
        <v>142</v>
      </c>
      <c r="L44" s="16"/>
      <c r="M44" s="46" t="s">
        <v>141</v>
      </c>
      <c r="N44" s="46" t="s">
        <v>142</v>
      </c>
      <c r="O44" s="16"/>
      <c r="P44" s="16"/>
      <c r="Q44" s="46" t="s">
        <v>141</v>
      </c>
      <c r="R44" s="46" t="s">
        <v>143</v>
      </c>
      <c r="S44" s="46" t="s">
        <v>144</v>
      </c>
      <c r="T44" s="16" t="s">
        <v>145</v>
      </c>
      <c r="U44" s="16" t="s">
        <v>146</v>
      </c>
      <c r="V44" s="16"/>
      <c r="W44" s="46" t="s">
        <v>141</v>
      </c>
      <c r="X44" s="46" t="s">
        <v>142</v>
      </c>
      <c r="Y44" s="46" t="s">
        <v>144</v>
      </c>
      <c r="Z44" s="16" t="s">
        <v>145</v>
      </c>
      <c r="AA44" s="16" t="s">
        <v>146</v>
      </c>
      <c r="AB44" s="16"/>
      <c r="AC44" s="46" t="s">
        <v>141</v>
      </c>
      <c r="AD44" s="46" t="s">
        <v>142</v>
      </c>
      <c r="AE44" s="46" t="s">
        <v>144</v>
      </c>
      <c r="AF44" s="16" t="s">
        <v>145</v>
      </c>
      <c r="AG44" s="16" t="s">
        <v>146</v>
      </c>
      <c r="AH44" s="16"/>
      <c r="AI44" s="46" t="s">
        <v>141</v>
      </c>
      <c r="AJ44" s="46" t="s">
        <v>142</v>
      </c>
      <c r="AK44" s="46" t="s">
        <v>144</v>
      </c>
      <c r="AL44" s="16" t="s">
        <v>145</v>
      </c>
      <c r="AM44" s="16" t="s">
        <v>146</v>
      </c>
      <c r="AN44" s="16"/>
      <c r="AO44" s="46" t="s">
        <v>141</v>
      </c>
      <c r="AP44" s="46" t="s">
        <v>142</v>
      </c>
      <c r="AQ44" s="46" t="s">
        <v>144</v>
      </c>
      <c r="AR44" s="16" t="s">
        <v>145</v>
      </c>
      <c r="AS44" s="16" t="s">
        <v>146</v>
      </c>
    </row>
    <row r="45" spans="1:45" ht="15">
      <c r="A45" s="47">
        <v>44286</v>
      </c>
      <c r="B45" s="48">
        <v>6.3299999999999995E-2</v>
      </c>
      <c r="C45" s="16"/>
      <c r="D45" s="47">
        <v>44651</v>
      </c>
      <c r="E45" s="48">
        <v>6.8400000000000002E-2</v>
      </c>
      <c r="F45" s="16"/>
      <c r="G45" s="47">
        <v>45016</v>
      </c>
      <c r="H45" s="48">
        <v>7.3200000000000001E-2</v>
      </c>
      <c r="I45" s="16"/>
      <c r="J45" s="47">
        <v>45382</v>
      </c>
      <c r="K45" s="48">
        <v>7.0599999999999996E-2</v>
      </c>
      <c r="L45" s="16"/>
      <c r="M45" s="47">
        <v>45747</v>
      </c>
      <c r="N45" s="48">
        <v>6.5799999999999997E-2</v>
      </c>
      <c r="O45" s="16"/>
      <c r="P45" s="16"/>
      <c r="Q45" s="47">
        <v>44286</v>
      </c>
      <c r="R45" s="49">
        <v>991.25</v>
      </c>
      <c r="S45" s="50">
        <v>20886.52</v>
      </c>
      <c r="T45" s="16">
        <f t="shared" ref="T45:U45" si="7">R45/R46-1</f>
        <v>-2.5031966165043773E-2</v>
      </c>
      <c r="U45" s="16">
        <f t="shared" si="7"/>
        <v>-1.0401751913905355E-2</v>
      </c>
      <c r="V45" s="16"/>
      <c r="W45" s="47">
        <v>44651</v>
      </c>
      <c r="X45" s="50">
        <v>1499.3</v>
      </c>
      <c r="Y45" s="50">
        <v>25118.14</v>
      </c>
      <c r="Z45" s="16">
        <f t="shared" ref="Z45:AA45" si="8">X45/X46-1</f>
        <v>2.1054038699326316E-3</v>
      </c>
      <c r="AA45" s="16">
        <f t="shared" si="8"/>
        <v>-1.9140668616098866E-3</v>
      </c>
      <c r="AB45" s="16"/>
      <c r="AC45" s="47">
        <v>45016</v>
      </c>
      <c r="AD45" s="50">
        <v>1101.8499999999999</v>
      </c>
      <c r="AE45" s="50">
        <v>25266.06</v>
      </c>
      <c r="AF45" s="16">
        <f t="shared" ref="AF45:AG45" si="9">AD45/AD46-1</f>
        <v>1.9052023121387096E-2</v>
      </c>
      <c r="AG45" s="16">
        <f t="shared" si="9"/>
        <v>1.6336731438906016E-2</v>
      </c>
      <c r="AH45" s="16"/>
      <c r="AI45" s="47">
        <v>45379</v>
      </c>
      <c r="AJ45" s="50">
        <v>1250.4000000000001</v>
      </c>
      <c r="AK45" s="50">
        <v>32867.230000000003</v>
      </c>
      <c r="AL45" s="16">
        <f t="shared" ref="AL45:AM45" si="10">AJ45/AJ46-1</f>
        <v>-2.592430104096044E-3</v>
      </c>
      <c r="AM45" s="16">
        <f t="shared" si="10"/>
        <v>9.1875432364458831E-3</v>
      </c>
      <c r="AN45" s="16"/>
      <c r="AO45" s="47">
        <v>45744</v>
      </c>
      <c r="AP45" s="50">
        <v>1418</v>
      </c>
      <c r="AQ45" s="50">
        <v>35054.080000000002</v>
      </c>
      <c r="AR45" s="16">
        <f t="shared" ref="AR45:AS45" si="11">AP45/AP46-1</f>
        <v>-3.5837256693134201E-3</v>
      </c>
      <c r="AS45" s="16">
        <f t="shared" si="11"/>
        <v>-3.0782951750623067E-3</v>
      </c>
    </row>
    <row r="46" spans="1:45" ht="15">
      <c r="A46" s="47">
        <v>44285</v>
      </c>
      <c r="B46" s="48">
        <v>6.3200000000000006E-2</v>
      </c>
      <c r="C46" s="16"/>
      <c r="D46" s="47">
        <v>44650</v>
      </c>
      <c r="E46" s="48">
        <v>6.7900000000000002E-2</v>
      </c>
      <c r="F46" s="16"/>
      <c r="G46" s="47">
        <v>45014</v>
      </c>
      <c r="H46" s="48">
        <v>7.3200000000000001E-2</v>
      </c>
      <c r="I46" s="16"/>
      <c r="J46" s="47">
        <v>45379</v>
      </c>
      <c r="K46" s="48">
        <v>7.0499999999999993E-2</v>
      </c>
      <c r="L46" s="16"/>
      <c r="M46" s="47">
        <v>45746</v>
      </c>
      <c r="N46" s="48">
        <v>6.5799999999999997E-2</v>
      </c>
      <c r="O46" s="16"/>
      <c r="P46" s="16"/>
      <c r="Q46" s="47">
        <v>44285</v>
      </c>
      <c r="R46" s="50">
        <v>1016.7</v>
      </c>
      <c r="S46" s="50">
        <v>21106.06</v>
      </c>
      <c r="T46" s="16">
        <f t="shared" ref="T46:U46" si="12">R46/R47-1</f>
        <v>2.5674653215636889E-2</v>
      </c>
      <c r="U46" s="16">
        <f t="shared" si="12"/>
        <v>2.3284926298580588E-2</v>
      </c>
      <c r="V46" s="16"/>
      <c r="W46" s="47">
        <v>44650</v>
      </c>
      <c r="X46" s="50">
        <v>1496.15</v>
      </c>
      <c r="Y46" s="50">
        <v>25166.31</v>
      </c>
      <c r="Z46" s="16">
        <f t="shared" ref="Z46:AA46" si="13">X46/X47-1</f>
        <v>-1.6855040084110873E-2</v>
      </c>
      <c r="AA46" s="16">
        <f t="shared" si="13"/>
        <v>9.9825143463025956E-3</v>
      </c>
      <c r="AB46" s="16"/>
      <c r="AC46" s="47">
        <v>45014</v>
      </c>
      <c r="AD46" s="50">
        <v>1081.25</v>
      </c>
      <c r="AE46" s="50">
        <v>24859.93</v>
      </c>
      <c r="AF46" s="16">
        <f t="shared" ref="AF46:AG46" si="14">AD46/AD47-1</f>
        <v>1.027797243634665E-2</v>
      </c>
      <c r="AG46" s="16">
        <f t="shared" si="14"/>
        <v>7.6101939959072329E-3</v>
      </c>
      <c r="AH46" s="16"/>
      <c r="AI46" s="47">
        <v>45378</v>
      </c>
      <c r="AJ46" s="50">
        <v>1253.6500000000001</v>
      </c>
      <c r="AK46" s="50">
        <v>32568.01</v>
      </c>
      <c r="AL46" s="16">
        <f t="shared" ref="AL46:AM46" si="15">AJ46/AJ47-1</f>
        <v>-1.1963630563072147E-4</v>
      </c>
      <c r="AM46" s="16">
        <f t="shared" si="15"/>
        <v>5.4045727247973296E-3</v>
      </c>
      <c r="AN46" s="16"/>
      <c r="AO46" s="47">
        <v>45743</v>
      </c>
      <c r="AP46" s="50">
        <v>1423.1</v>
      </c>
      <c r="AQ46" s="50">
        <v>35162.32</v>
      </c>
      <c r="AR46" s="16">
        <f t="shared" ref="AR46:AS46" si="16">AP46/AP47-1</f>
        <v>5.2981068098332251E-3</v>
      </c>
      <c r="AS46" s="16">
        <f t="shared" si="16"/>
        <v>4.474989337441615E-3</v>
      </c>
    </row>
    <row r="47" spans="1:45" ht="15">
      <c r="A47" s="47">
        <v>44283</v>
      </c>
      <c r="B47" s="48">
        <v>6.2799999999999995E-2</v>
      </c>
      <c r="C47" s="16"/>
      <c r="D47" s="47">
        <v>44649</v>
      </c>
      <c r="E47" s="48">
        <v>6.83E-2</v>
      </c>
      <c r="F47" s="16"/>
      <c r="G47" s="47">
        <v>45013</v>
      </c>
      <c r="H47" s="48">
        <v>7.3300000000000004E-2</v>
      </c>
      <c r="I47" s="16"/>
      <c r="J47" s="47">
        <v>45378</v>
      </c>
      <c r="K47" s="48">
        <v>7.0699999999999999E-2</v>
      </c>
      <c r="L47" s="16"/>
      <c r="M47" s="47">
        <v>45744</v>
      </c>
      <c r="N47" s="48">
        <v>6.59E-2</v>
      </c>
      <c r="O47" s="16"/>
      <c r="P47" s="16"/>
      <c r="Q47" s="47">
        <v>44281</v>
      </c>
      <c r="R47" s="49">
        <v>991.25</v>
      </c>
      <c r="S47" s="50">
        <v>20625.79</v>
      </c>
      <c r="T47" s="16">
        <f t="shared" ref="T47:U47" si="17">R47/R48-1</f>
        <v>2.1328112925660836E-2</v>
      </c>
      <c r="U47" s="16">
        <f t="shared" si="17"/>
        <v>1.2735178789399448E-2</v>
      </c>
      <c r="V47" s="16"/>
      <c r="W47" s="47">
        <v>44649</v>
      </c>
      <c r="X47" s="50">
        <v>1521.8</v>
      </c>
      <c r="Y47" s="50">
        <v>24917.57</v>
      </c>
      <c r="Z47" s="16">
        <f t="shared" ref="Z47:AA47" si="18">X47/X48-1</f>
        <v>-1.541842994456033E-3</v>
      </c>
      <c r="AA47" s="16">
        <f t="shared" si="18"/>
        <v>6.0108144597070812E-3</v>
      </c>
      <c r="AB47" s="16"/>
      <c r="AC47" s="47">
        <v>45013</v>
      </c>
      <c r="AD47" s="50">
        <v>1070.25</v>
      </c>
      <c r="AE47" s="50">
        <v>24672.17</v>
      </c>
      <c r="AF47" s="16">
        <f t="shared" ref="AF47:AG47" si="19">AD47/AD48-1</f>
        <v>-2.8987479586282006E-2</v>
      </c>
      <c r="AG47" s="16">
        <f t="shared" si="19"/>
        <v>-2.0039066876846867E-3</v>
      </c>
      <c r="AH47" s="16"/>
      <c r="AI47" s="47">
        <v>45377</v>
      </c>
      <c r="AJ47" s="50">
        <v>1253.8</v>
      </c>
      <c r="AK47" s="50">
        <v>32392.94</v>
      </c>
      <c r="AL47" s="16">
        <f t="shared" ref="AL47:AM47" si="20">AJ47/AJ48-1</f>
        <v>-9.0104331331015697E-3</v>
      </c>
      <c r="AM47" s="16">
        <f t="shared" si="20"/>
        <v>-4.1652794186500808E-3</v>
      </c>
      <c r="AN47" s="16"/>
      <c r="AO47" s="47">
        <v>45742</v>
      </c>
      <c r="AP47" s="50">
        <v>1415.6</v>
      </c>
      <c r="AQ47" s="50">
        <v>35005.67</v>
      </c>
      <c r="AR47" s="16">
        <f t="shared" ref="AR47:AS47" si="21">AP47/AP48-1</f>
        <v>-2.8481229840093381E-2</v>
      </c>
      <c r="AS47" s="16">
        <f t="shared" si="21"/>
        <v>-7.6815684028954667E-3</v>
      </c>
    </row>
    <row r="48" spans="1:45" ht="15">
      <c r="A48" s="47">
        <v>44281</v>
      </c>
      <c r="B48" s="48">
        <v>6.2799999999999995E-2</v>
      </c>
      <c r="C48" s="16"/>
      <c r="D48" s="47">
        <v>44648</v>
      </c>
      <c r="E48" s="48">
        <v>6.8400000000000002E-2</v>
      </c>
      <c r="F48" s="16"/>
      <c r="G48" s="47">
        <v>45012</v>
      </c>
      <c r="H48" s="48">
        <v>7.3200000000000001E-2</v>
      </c>
      <c r="I48" s="16"/>
      <c r="J48" s="47">
        <v>45377</v>
      </c>
      <c r="K48" s="48">
        <v>7.0900000000000005E-2</v>
      </c>
      <c r="L48" s="16"/>
      <c r="M48" s="47">
        <v>45743</v>
      </c>
      <c r="N48" s="48">
        <v>6.59E-2</v>
      </c>
      <c r="O48" s="16"/>
      <c r="P48" s="16"/>
      <c r="Q48" s="47">
        <v>44280</v>
      </c>
      <c r="R48" s="49">
        <v>970.55</v>
      </c>
      <c r="S48" s="50">
        <v>20366.419999999998</v>
      </c>
      <c r="T48" s="16">
        <f t="shared" ref="T48:U48" si="22">R48/R49-1</f>
        <v>-2.4376759147567317E-2</v>
      </c>
      <c r="U48" s="16">
        <f t="shared" si="22"/>
        <v>-1.536674970883678E-2</v>
      </c>
      <c r="V48" s="16"/>
      <c r="W48" s="47">
        <v>44648</v>
      </c>
      <c r="X48" s="50">
        <v>1524.15</v>
      </c>
      <c r="Y48" s="50">
        <v>24768.69</v>
      </c>
      <c r="Z48" s="16">
        <f t="shared" ref="Z48:AA48" si="23">X48/X49-1</f>
        <v>-5.1240208877284532E-3</v>
      </c>
      <c r="AA48" s="16">
        <f t="shared" si="23"/>
        <v>4.0227893203941267E-3</v>
      </c>
      <c r="AB48" s="16"/>
      <c r="AC48" s="47">
        <v>45012</v>
      </c>
      <c r="AD48" s="50">
        <v>1102.2</v>
      </c>
      <c r="AE48" s="50">
        <v>24721.71</v>
      </c>
      <c r="AF48" s="16">
        <f t="shared" ref="AF48:AG48" si="24">AD48/AD49-1</f>
        <v>5.9007761790219604E-4</v>
      </c>
      <c r="AG48" s="16">
        <f t="shared" si="24"/>
        <v>2.3995916071870571E-3</v>
      </c>
      <c r="AH48" s="16"/>
      <c r="AI48" s="47">
        <v>45373</v>
      </c>
      <c r="AJ48" s="50">
        <v>1265.2</v>
      </c>
      <c r="AK48" s="50">
        <v>32528.43</v>
      </c>
      <c r="AL48" s="16">
        <f t="shared" ref="AL48:AM48" si="25">AJ48/AJ49-1</f>
        <v>-1.3296938974458938E-2</v>
      </c>
      <c r="AM48" s="16">
        <f t="shared" si="25"/>
        <v>3.852349738918015E-3</v>
      </c>
      <c r="AN48" s="16"/>
      <c r="AO48" s="47">
        <v>45741</v>
      </c>
      <c r="AP48" s="50">
        <v>1457.1</v>
      </c>
      <c r="AQ48" s="50">
        <v>35276.65</v>
      </c>
      <c r="AR48" s="16">
        <f t="shared" ref="AR48:AS48" si="26">AP48/AP49-1</f>
        <v>-1.0283833813246046E-3</v>
      </c>
      <c r="AS48" s="16">
        <f t="shared" si="26"/>
        <v>4.3617260524086987E-4</v>
      </c>
    </row>
    <row r="49" spans="1:45" ht="15">
      <c r="A49" s="47">
        <v>44280</v>
      </c>
      <c r="B49" s="48">
        <v>6.3E-2</v>
      </c>
      <c r="C49" s="16"/>
      <c r="D49" s="47">
        <v>44645</v>
      </c>
      <c r="E49" s="48">
        <v>6.8099999999999994E-2</v>
      </c>
      <c r="F49" s="16"/>
      <c r="G49" s="47">
        <v>45009</v>
      </c>
      <c r="H49" s="48">
        <v>7.3200000000000001E-2</v>
      </c>
      <c r="I49" s="16"/>
      <c r="J49" s="47">
        <v>45375</v>
      </c>
      <c r="K49" s="48">
        <v>7.0999999999999994E-2</v>
      </c>
      <c r="L49" s="16"/>
      <c r="M49" s="47">
        <v>45742</v>
      </c>
      <c r="N49" s="48">
        <v>6.6100000000000006E-2</v>
      </c>
      <c r="O49" s="16"/>
      <c r="P49" s="16"/>
      <c r="Q49" s="47">
        <v>44279</v>
      </c>
      <c r="R49" s="49">
        <v>994.8</v>
      </c>
      <c r="S49" s="50">
        <v>20684.27</v>
      </c>
      <c r="T49" s="16">
        <f t="shared" ref="T49:U49" si="27">R49/R50-1</f>
        <v>-1.878976179908276E-2</v>
      </c>
      <c r="U49" s="16">
        <f t="shared" si="27"/>
        <v>-1.791181263270647E-2</v>
      </c>
      <c r="V49" s="16"/>
      <c r="W49" s="47">
        <v>44645</v>
      </c>
      <c r="X49" s="50">
        <v>1532</v>
      </c>
      <c r="Y49" s="50">
        <v>24669.45</v>
      </c>
      <c r="Z49" s="16">
        <f t="shared" ref="Z49:AA49" si="28">X49/X50-1</f>
        <v>-2.3488542563023795E-2</v>
      </c>
      <c r="AA49" s="16">
        <f t="shared" si="28"/>
        <v>-4.0492939977189168E-3</v>
      </c>
      <c r="AB49" s="16"/>
      <c r="AC49" s="47">
        <v>45009</v>
      </c>
      <c r="AD49" s="50">
        <v>1101.55</v>
      </c>
      <c r="AE49" s="50">
        <v>24662.53</v>
      </c>
      <c r="AF49" s="16">
        <f t="shared" ref="AF49:AG49" si="29">AD49/AD50-1</f>
        <v>1.636735621732166E-3</v>
      </c>
      <c r="AG49" s="16">
        <f t="shared" si="29"/>
        <v>-7.7193606441356977E-3</v>
      </c>
      <c r="AH49" s="16"/>
      <c r="AI49" s="47">
        <v>45372</v>
      </c>
      <c r="AJ49" s="50">
        <v>1282.25</v>
      </c>
      <c r="AK49" s="50">
        <v>32403.599999999999</v>
      </c>
      <c r="AL49" s="16">
        <f t="shared" ref="AL49:AM49" si="30">AJ49/AJ50-1</f>
        <v>1.4879892358225399E-2</v>
      </c>
      <c r="AM49" s="16">
        <f t="shared" si="30"/>
        <v>7.9140456814281723E-3</v>
      </c>
      <c r="AN49" s="16"/>
      <c r="AO49" s="47">
        <v>45740</v>
      </c>
      <c r="AP49" s="50">
        <v>1458.6</v>
      </c>
      <c r="AQ49" s="50">
        <v>35261.269999999997</v>
      </c>
      <c r="AR49" s="16">
        <f t="shared" ref="AR49:AS49" si="31">AP49/AP50-1</f>
        <v>3.4431403141732542E-2</v>
      </c>
      <c r="AS49" s="16">
        <f t="shared" si="31"/>
        <v>1.3187921487947563E-2</v>
      </c>
    </row>
    <row r="50" spans="1:45" ht="15">
      <c r="A50" s="47">
        <v>44279</v>
      </c>
      <c r="B50" s="48">
        <v>6.3200000000000006E-2</v>
      </c>
      <c r="C50" s="16"/>
      <c r="D50" s="47">
        <v>44644</v>
      </c>
      <c r="E50" s="48">
        <v>6.83E-2</v>
      </c>
      <c r="F50" s="16"/>
      <c r="G50" s="47">
        <v>45008</v>
      </c>
      <c r="H50" s="48">
        <v>7.3400000000000007E-2</v>
      </c>
      <c r="I50" s="16"/>
      <c r="J50" s="47">
        <v>45373</v>
      </c>
      <c r="K50" s="48">
        <v>7.0599999999999996E-2</v>
      </c>
      <c r="L50" s="16"/>
      <c r="M50" s="47">
        <v>45741</v>
      </c>
      <c r="N50" s="48">
        <v>6.6299999999999998E-2</v>
      </c>
      <c r="O50" s="16"/>
      <c r="P50" s="16"/>
      <c r="Q50" s="47">
        <v>44278</v>
      </c>
      <c r="R50" s="50">
        <v>1013.85</v>
      </c>
      <c r="S50" s="50">
        <v>21061.52</v>
      </c>
      <c r="T50" s="16">
        <f t="shared" ref="T50:U50" si="32">R50/R51-1</f>
        <v>1.0861515675142375E-3</v>
      </c>
      <c r="U50" s="16">
        <f t="shared" si="32"/>
        <v>5.4359319541810169E-3</v>
      </c>
      <c r="V50" s="16"/>
      <c r="W50" s="47">
        <v>44644</v>
      </c>
      <c r="X50" s="50">
        <v>1568.85</v>
      </c>
      <c r="Y50" s="50">
        <v>24769.75</v>
      </c>
      <c r="Z50" s="16">
        <f t="shared" ref="Z50:AA50" si="33">X50/X51-1</f>
        <v>1.7511431073061523E-2</v>
      </c>
      <c r="AA50" s="16">
        <f t="shared" si="33"/>
        <v>-1.3300949814416541E-3</v>
      </c>
      <c r="AB50" s="16"/>
      <c r="AC50" s="47">
        <v>45008</v>
      </c>
      <c r="AD50" s="50">
        <v>1099.75</v>
      </c>
      <c r="AE50" s="50">
        <v>24854.39</v>
      </c>
      <c r="AF50" s="16">
        <f t="shared" ref="AF50:AG50" si="34">AD50/AD51-1</f>
        <v>6.8243858052774442E-4</v>
      </c>
      <c r="AG50" s="16">
        <f t="shared" si="34"/>
        <v>-4.3727755066887974E-3</v>
      </c>
      <c r="AH50" s="16"/>
      <c r="AI50" s="47">
        <v>45371</v>
      </c>
      <c r="AJ50" s="50">
        <v>1263.45</v>
      </c>
      <c r="AK50" s="50">
        <v>32149.17</v>
      </c>
      <c r="AL50" s="16">
        <f t="shared" ref="AL50:AM50" si="35">AJ50/AJ51-1</f>
        <v>8.863336926578036E-3</v>
      </c>
      <c r="AM50" s="16">
        <f t="shared" si="35"/>
        <v>9.9230009994610846E-4</v>
      </c>
      <c r="AN50" s="16"/>
      <c r="AO50" s="47">
        <v>45737</v>
      </c>
      <c r="AP50" s="50">
        <v>1410.05</v>
      </c>
      <c r="AQ50" s="50">
        <v>34802.300000000003</v>
      </c>
      <c r="AR50" s="16">
        <f t="shared" ref="AR50:AS50" si="36">AP50/AP51-1</f>
        <v>-3.1903580290681965E-4</v>
      </c>
      <c r="AS50" s="16">
        <f t="shared" si="36"/>
        <v>6.8892130523565687E-3</v>
      </c>
    </row>
    <row r="51" spans="1:45" ht="15">
      <c r="A51" s="47">
        <v>44278</v>
      </c>
      <c r="B51" s="48">
        <v>6.3100000000000003E-2</v>
      </c>
      <c r="C51" s="16"/>
      <c r="D51" s="47">
        <v>44643</v>
      </c>
      <c r="E51" s="48">
        <v>6.8500000000000005E-2</v>
      </c>
      <c r="F51" s="16"/>
      <c r="G51" s="47">
        <v>45007</v>
      </c>
      <c r="H51" s="48">
        <v>7.3599999999999999E-2</v>
      </c>
      <c r="I51" s="16"/>
      <c r="J51" s="47">
        <v>45372</v>
      </c>
      <c r="K51" s="48">
        <v>7.0699999999999999E-2</v>
      </c>
      <c r="L51" s="16"/>
      <c r="M51" s="47">
        <v>45740</v>
      </c>
      <c r="N51" s="48">
        <v>6.6299999999999998E-2</v>
      </c>
      <c r="O51" s="16"/>
      <c r="P51" s="16"/>
      <c r="Q51" s="47">
        <v>44277</v>
      </c>
      <c r="R51" s="50">
        <v>1012.75</v>
      </c>
      <c r="S51" s="50">
        <v>20947.650000000001</v>
      </c>
      <c r="T51" s="16">
        <f t="shared" ref="T51:U51" si="37">R51/R52-1</f>
        <v>2.3755370229972206E-2</v>
      </c>
      <c r="U51" s="16">
        <f t="shared" si="37"/>
        <v>-4.3995119500184199E-4</v>
      </c>
      <c r="V51" s="16"/>
      <c r="W51" s="47">
        <v>44643</v>
      </c>
      <c r="X51" s="50">
        <v>1541.85</v>
      </c>
      <c r="Y51" s="50">
        <v>24802.74</v>
      </c>
      <c r="Z51" s="16">
        <f t="shared" ref="Z51:AA51" si="38">X51/X52-1</f>
        <v>2.2100165751242073E-3</v>
      </c>
      <c r="AA51" s="16">
        <f t="shared" si="38"/>
        <v>-4.0316201089499737E-3</v>
      </c>
      <c r="AB51" s="16"/>
      <c r="AC51" s="47">
        <v>45007</v>
      </c>
      <c r="AD51" s="50">
        <v>1099</v>
      </c>
      <c r="AE51" s="50">
        <v>24963.55</v>
      </c>
      <c r="AF51" s="16">
        <f t="shared" ref="AF51:AG51" si="39">AD51/AD52-1</f>
        <v>2.9202409198758605E-3</v>
      </c>
      <c r="AG51" s="16">
        <f t="shared" si="39"/>
        <v>2.5936815860254647E-3</v>
      </c>
      <c r="AH51" s="16"/>
      <c r="AI51" s="47">
        <v>45370</v>
      </c>
      <c r="AJ51" s="50">
        <v>1252.3499999999999</v>
      </c>
      <c r="AK51" s="50">
        <v>32117.3</v>
      </c>
      <c r="AL51" s="16">
        <f t="shared" ref="AL51:AM51" si="40">AJ51/AJ52-1</f>
        <v>-1.5486812625289947E-2</v>
      </c>
      <c r="AM51" s="16">
        <f t="shared" si="40"/>
        <v>-1.0801404459775843E-2</v>
      </c>
      <c r="AN51" s="16"/>
      <c r="AO51" s="47">
        <v>45736</v>
      </c>
      <c r="AP51" s="50">
        <v>1410.5</v>
      </c>
      <c r="AQ51" s="50">
        <v>34564.18</v>
      </c>
      <c r="AR51" s="16">
        <f t="shared" ref="AR51:AS51" si="41">AP51/AP52-1</f>
        <v>1.0133562502238069E-2</v>
      </c>
      <c r="AS51" s="16">
        <f t="shared" si="41"/>
        <v>1.2355037072726338E-2</v>
      </c>
    </row>
    <row r="52" spans="1:45" ht="15">
      <c r="A52" s="47">
        <v>44277</v>
      </c>
      <c r="B52" s="48">
        <v>6.3399999999999998E-2</v>
      </c>
      <c r="C52" s="16"/>
      <c r="D52" s="47">
        <v>44642</v>
      </c>
      <c r="E52" s="48">
        <v>6.8599999999999994E-2</v>
      </c>
      <c r="F52" s="16"/>
      <c r="G52" s="47">
        <v>45006</v>
      </c>
      <c r="H52" s="48">
        <v>7.3599999999999999E-2</v>
      </c>
      <c r="I52" s="16"/>
      <c r="J52" s="47">
        <v>45371</v>
      </c>
      <c r="K52" s="48">
        <v>7.1800000000000003E-2</v>
      </c>
      <c r="L52" s="16"/>
      <c r="M52" s="47">
        <v>45737</v>
      </c>
      <c r="N52" s="48">
        <v>6.6299999999999998E-2</v>
      </c>
      <c r="O52" s="16"/>
      <c r="P52" s="16"/>
      <c r="Q52" s="47">
        <v>44274</v>
      </c>
      <c r="R52" s="49">
        <v>989.25</v>
      </c>
      <c r="S52" s="50">
        <v>20956.87</v>
      </c>
      <c r="T52" s="16">
        <f t="shared" ref="T52:U52" si="42">R52/R53-1</f>
        <v>-6.9266676705315167E-3</v>
      </c>
      <c r="U52" s="16">
        <f t="shared" si="42"/>
        <v>1.2783957735084561E-2</v>
      </c>
      <c r="V52" s="16"/>
      <c r="W52" s="47">
        <v>44642</v>
      </c>
      <c r="X52" s="50">
        <v>1538.45</v>
      </c>
      <c r="Y52" s="50">
        <v>24903.14</v>
      </c>
      <c r="Z52" s="16">
        <f t="shared" ref="Z52:AA52" si="43">X52/X53-1</f>
        <v>3.8335639321027237E-2</v>
      </c>
      <c r="AA52" s="16">
        <f t="shared" si="43"/>
        <v>1.1561214890253302E-2</v>
      </c>
      <c r="AB52" s="16"/>
      <c r="AC52" s="47">
        <v>45006</v>
      </c>
      <c r="AD52" s="50">
        <v>1095.8</v>
      </c>
      <c r="AE52" s="50">
        <v>24898.97</v>
      </c>
      <c r="AF52" s="16">
        <f t="shared" ref="AF52:AG52" si="44">AD52/AD53-1</f>
        <v>-1.1858063934352403E-2</v>
      </c>
      <c r="AG52" s="16">
        <f t="shared" si="44"/>
        <v>7.0117610897209026E-3</v>
      </c>
      <c r="AH52" s="16"/>
      <c r="AI52" s="47">
        <v>45369</v>
      </c>
      <c r="AJ52" s="50">
        <v>1272.05</v>
      </c>
      <c r="AK52" s="50">
        <v>32468</v>
      </c>
      <c r="AL52" s="16">
        <f t="shared" ref="AL52:AM52" si="45">AJ52/AJ53-1</f>
        <v>-7.6452002964465526E-3</v>
      </c>
      <c r="AM52" s="16">
        <f t="shared" si="45"/>
        <v>-4.1633260478706191E-3</v>
      </c>
      <c r="AN52" s="16"/>
      <c r="AO52" s="47">
        <v>45735</v>
      </c>
      <c r="AP52" s="50">
        <v>1396.35</v>
      </c>
      <c r="AQ52" s="50">
        <v>34142.35</v>
      </c>
      <c r="AR52" s="16">
        <f t="shared" ref="AR52:AS52" si="46">AP52/AP53-1</f>
        <v>-2.4316109422492516E-2</v>
      </c>
      <c r="AS52" s="16">
        <f t="shared" si="46"/>
        <v>3.2112892581508401E-3</v>
      </c>
    </row>
    <row r="53" spans="1:45" ht="15">
      <c r="A53" s="47">
        <v>44274</v>
      </c>
      <c r="B53" s="48">
        <v>6.3600000000000004E-2</v>
      </c>
      <c r="C53" s="16"/>
      <c r="D53" s="47">
        <v>44641</v>
      </c>
      <c r="E53" s="48">
        <v>6.83E-2</v>
      </c>
      <c r="F53" s="16"/>
      <c r="G53" s="47">
        <v>45005</v>
      </c>
      <c r="H53" s="48">
        <v>7.3300000000000004E-2</v>
      </c>
      <c r="I53" s="16"/>
      <c r="J53" s="47">
        <v>45370</v>
      </c>
      <c r="K53" s="48">
        <v>7.0900000000000005E-2</v>
      </c>
      <c r="L53" s="16"/>
      <c r="M53" s="47">
        <v>45736</v>
      </c>
      <c r="N53" s="48">
        <v>6.6799999999999998E-2</v>
      </c>
      <c r="O53" s="16"/>
      <c r="P53" s="16"/>
      <c r="Q53" s="47">
        <v>44273</v>
      </c>
      <c r="R53" s="49">
        <v>996.15</v>
      </c>
      <c r="S53" s="50">
        <v>20692.34</v>
      </c>
      <c r="T53" s="16">
        <f t="shared" ref="T53:U53" si="47">R53/R54-1</f>
        <v>-2.3573809057047757E-2</v>
      </c>
      <c r="U53" s="16">
        <f t="shared" si="47"/>
        <v>-1.110032636211622E-2</v>
      </c>
      <c r="V53" s="16"/>
      <c r="W53" s="47">
        <v>44641</v>
      </c>
      <c r="X53" s="50">
        <v>1481.65</v>
      </c>
      <c r="Y53" s="50">
        <v>24618.52</v>
      </c>
      <c r="Z53" s="16">
        <f t="shared" ref="Z53:AA53" si="48">X53/X54-1</f>
        <v>-6.870433675179255E-3</v>
      </c>
      <c r="AA53" s="16">
        <f t="shared" si="48"/>
        <v>-9.8040122643668903E-3</v>
      </c>
      <c r="AB53" s="16"/>
      <c r="AC53" s="47">
        <v>45005</v>
      </c>
      <c r="AD53" s="50">
        <v>1108.95</v>
      </c>
      <c r="AE53" s="50">
        <v>24725.599999999999</v>
      </c>
      <c r="AF53" s="16">
        <f t="shared" ref="AF53:AG53" si="49">AD53/AD54-1</f>
        <v>-1.5491832386363646E-2</v>
      </c>
      <c r="AG53" s="16">
        <f t="shared" si="49"/>
        <v>-6.5292248102506445E-3</v>
      </c>
      <c r="AH53" s="16"/>
      <c r="AI53" s="47">
        <v>45366</v>
      </c>
      <c r="AJ53" s="50">
        <v>1281.8499999999999</v>
      </c>
      <c r="AK53" s="50">
        <v>32603.74</v>
      </c>
      <c r="AL53" s="16">
        <f t="shared" ref="AL53:AM53" si="50">AJ53/AJ54-1</f>
        <v>-9.3129299018472889E-3</v>
      </c>
      <c r="AM53" s="16">
        <f t="shared" si="50"/>
        <v>5.6547711765519981E-3</v>
      </c>
      <c r="AN53" s="16"/>
      <c r="AO53" s="47">
        <v>45734</v>
      </c>
      <c r="AP53" s="50">
        <v>1431.15</v>
      </c>
      <c r="AQ53" s="50">
        <v>34033.06</v>
      </c>
      <c r="AR53" s="16">
        <f t="shared" ref="AR53:AS53" si="51">AP53/AP54-1</f>
        <v>-5.9042128295071494E-3</v>
      </c>
      <c r="AS53" s="16">
        <f t="shared" si="51"/>
        <v>1.4462314757296202E-2</v>
      </c>
    </row>
    <row r="54" spans="1:45" ht="15">
      <c r="A54" s="47">
        <v>44273</v>
      </c>
      <c r="B54" s="48">
        <v>6.4100000000000004E-2</v>
      </c>
      <c r="C54" s="16"/>
      <c r="D54" s="47">
        <v>44637</v>
      </c>
      <c r="E54" s="48">
        <v>6.8099999999999994E-2</v>
      </c>
      <c r="F54" s="16"/>
      <c r="G54" s="47">
        <v>45002</v>
      </c>
      <c r="H54" s="48">
        <v>7.3700000000000002E-2</v>
      </c>
      <c r="I54" s="16"/>
      <c r="J54" s="47">
        <v>45369</v>
      </c>
      <c r="K54" s="48">
        <v>7.0800000000000002E-2</v>
      </c>
      <c r="L54" s="16"/>
      <c r="M54" s="47">
        <v>45735</v>
      </c>
      <c r="N54" s="48">
        <v>6.7199999999999996E-2</v>
      </c>
      <c r="O54" s="16"/>
      <c r="P54" s="16"/>
      <c r="Q54" s="47">
        <v>44272</v>
      </c>
      <c r="R54" s="50">
        <v>1020.2</v>
      </c>
      <c r="S54" s="50">
        <v>20924.61</v>
      </c>
      <c r="T54" s="16">
        <f t="shared" ref="T54:U54" si="52">R54/R55-1</f>
        <v>-7.5875486381322688E-3</v>
      </c>
      <c r="U54" s="16">
        <f t="shared" si="52"/>
        <v>-1.2685517135946567E-2</v>
      </c>
      <c r="V54" s="16"/>
      <c r="W54" s="47">
        <v>44637</v>
      </c>
      <c r="X54" s="50">
        <v>1491.9</v>
      </c>
      <c r="Y54" s="50">
        <v>24862.27</v>
      </c>
      <c r="Z54" s="16">
        <f t="shared" ref="Z54:AA54" si="53">X54/X55-1</f>
        <v>1.611278952668771E-3</v>
      </c>
      <c r="AA54" s="16">
        <f t="shared" si="53"/>
        <v>1.836118620463667E-2</v>
      </c>
      <c r="AB54" s="16"/>
      <c r="AC54" s="47">
        <v>45002</v>
      </c>
      <c r="AD54" s="50">
        <v>1126.4000000000001</v>
      </c>
      <c r="AE54" s="50">
        <v>24888.1</v>
      </c>
      <c r="AF54" s="16">
        <f t="shared" ref="AF54:AG54" si="54">AD54/AD55-1</f>
        <v>7.7387609036010385E-3</v>
      </c>
      <c r="AG54" s="16">
        <f t="shared" si="54"/>
        <v>6.7382588125648457E-3</v>
      </c>
      <c r="AH54" s="16"/>
      <c r="AI54" s="47">
        <v>45365</v>
      </c>
      <c r="AJ54" s="50">
        <v>1293.9000000000001</v>
      </c>
      <c r="AK54" s="50">
        <v>32420.41</v>
      </c>
      <c r="AL54" s="16">
        <f t="shared" ref="AL54:AM54" si="55">AJ54/AJ55-1</f>
        <v>1.3392857142857206E-2</v>
      </c>
      <c r="AM54" s="16">
        <f t="shared" si="55"/>
        <v>-5.5543473626512574E-3</v>
      </c>
      <c r="AN54" s="16"/>
      <c r="AO54" s="47">
        <v>45733</v>
      </c>
      <c r="AP54" s="50">
        <v>1439.65</v>
      </c>
      <c r="AQ54" s="50">
        <v>33547.879999999997</v>
      </c>
      <c r="AR54" s="16">
        <f t="shared" ref="AR54:AS54" si="56">AP54/AP55-1</f>
        <v>0</v>
      </c>
      <c r="AS54" s="16">
        <f t="shared" si="56"/>
        <v>4.9805851243887034E-3</v>
      </c>
    </row>
    <row r="55" spans="1:45" ht="15">
      <c r="A55" s="47">
        <v>44272</v>
      </c>
      <c r="B55" s="48">
        <v>6.4000000000000001E-2</v>
      </c>
      <c r="C55" s="16"/>
      <c r="D55" s="47">
        <v>44636</v>
      </c>
      <c r="E55" s="48">
        <v>6.8400000000000002E-2</v>
      </c>
      <c r="F55" s="16"/>
      <c r="G55" s="47">
        <v>45001</v>
      </c>
      <c r="H55" s="48">
        <v>7.3599999999999999E-2</v>
      </c>
      <c r="I55" s="16"/>
      <c r="J55" s="47">
        <v>45366</v>
      </c>
      <c r="K55" s="48">
        <v>7.0599999999999996E-2</v>
      </c>
      <c r="L55" s="16"/>
      <c r="M55" s="47">
        <v>45734</v>
      </c>
      <c r="N55" s="48">
        <v>6.7400000000000002E-2</v>
      </c>
      <c r="O55" s="16"/>
      <c r="P55" s="16"/>
      <c r="Q55" s="47">
        <v>44271</v>
      </c>
      <c r="R55" s="50">
        <v>1028</v>
      </c>
      <c r="S55" s="50">
        <v>21193.46</v>
      </c>
      <c r="T55" s="16">
        <f t="shared" ref="T55:U55" si="57">R55/R56-1</f>
        <v>1.7540440459948847E-3</v>
      </c>
      <c r="U55" s="16">
        <f t="shared" si="57"/>
        <v>-1.2784752921572995E-3</v>
      </c>
      <c r="V55" s="16"/>
      <c r="W55" s="47">
        <v>44636</v>
      </c>
      <c r="X55" s="50">
        <v>1489.5</v>
      </c>
      <c r="Y55" s="50">
        <v>24414</v>
      </c>
      <c r="Z55" s="16">
        <f t="shared" ref="Z55:AA55" si="58">X55/X56-1</f>
        <v>2.0869744011514424E-2</v>
      </c>
      <c r="AA55" s="16">
        <f t="shared" si="58"/>
        <v>1.874755891159996E-2</v>
      </c>
      <c r="AB55" s="16"/>
      <c r="AC55" s="47">
        <v>45001</v>
      </c>
      <c r="AD55" s="50">
        <v>1117.75</v>
      </c>
      <c r="AE55" s="50">
        <v>24721.52</v>
      </c>
      <c r="AF55" s="16">
        <f t="shared" ref="AF55:AG55" si="59">AD55/AD56-1</f>
        <v>2.9161058770750259E-3</v>
      </c>
      <c r="AG55" s="16">
        <f t="shared" si="59"/>
        <v>8.0642549470488767E-4</v>
      </c>
      <c r="AH55" s="16"/>
      <c r="AI55" s="47">
        <v>45364</v>
      </c>
      <c r="AJ55" s="50">
        <v>1276.8</v>
      </c>
      <c r="AK55" s="50">
        <v>32601.49</v>
      </c>
      <c r="AL55" s="16">
        <f t="shared" ref="AL55:AM55" si="60">AJ55/AJ56-1</f>
        <v>-1.176470588235301E-2</v>
      </c>
      <c r="AM55" s="16">
        <f t="shared" si="60"/>
        <v>6.7713084526015432E-3</v>
      </c>
      <c r="AN55" s="16"/>
      <c r="AO55" s="47">
        <v>45729</v>
      </c>
      <c r="AP55" s="50">
        <v>1439.65</v>
      </c>
      <c r="AQ55" s="50">
        <v>33381.620000000003</v>
      </c>
      <c r="AR55" s="16">
        <f t="shared" ref="AR55:AS55" si="61">AP55/AP56-1</f>
        <v>9.0381339729561638E-4</v>
      </c>
      <c r="AS55" s="16">
        <f t="shared" si="61"/>
        <v>-3.2620830692066116E-3</v>
      </c>
    </row>
    <row r="56" spans="1:45" ht="15">
      <c r="A56" s="47">
        <v>44271</v>
      </c>
      <c r="B56" s="48">
        <v>6.3899999999999998E-2</v>
      </c>
      <c r="C56" s="16"/>
      <c r="D56" s="47">
        <v>44635</v>
      </c>
      <c r="E56" s="48">
        <v>6.8699999999999997E-2</v>
      </c>
      <c r="F56" s="16"/>
      <c r="G56" s="47">
        <v>45000</v>
      </c>
      <c r="H56" s="48">
        <v>7.3899999999999993E-2</v>
      </c>
      <c r="I56" s="16"/>
      <c r="J56" s="47">
        <v>45365</v>
      </c>
      <c r="K56" s="48">
        <v>7.0400000000000004E-2</v>
      </c>
      <c r="L56" s="16"/>
      <c r="M56" s="47">
        <v>45733</v>
      </c>
      <c r="N56" s="48">
        <v>6.7500000000000004E-2</v>
      </c>
      <c r="O56" s="16"/>
      <c r="P56" s="16"/>
      <c r="Q56" s="47">
        <v>44270</v>
      </c>
      <c r="R56" s="50">
        <v>1026.2</v>
      </c>
      <c r="S56" s="50">
        <v>21220.59</v>
      </c>
      <c r="T56" s="16">
        <f t="shared" ref="T56:U56" si="62">R56/R57-1</f>
        <v>2.2213367865325351E-2</v>
      </c>
      <c r="U56" s="16">
        <f t="shared" si="62"/>
        <v>-6.5866808605660188E-3</v>
      </c>
      <c r="V56" s="16"/>
      <c r="W56" s="47">
        <v>44635</v>
      </c>
      <c r="X56" s="50">
        <v>1459.05</v>
      </c>
      <c r="Y56" s="50">
        <v>23964.720000000001</v>
      </c>
      <c r="Z56" s="16">
        <f t="shared" ref="Z56:AA56" si="63">X56/X57-1</f>
        <v>-2.9241516966067915E-2</v>
      </c>
      <c r="AA56" s="16">
        <f t="shared" si="63"/>
        <v>-1.2346126756645259E-2</v>
      </c>
      <c r="AB56" s="16"/>
      <c r="AC56" s="47">
        <v>45000</v>
      </c>
      <c r="AD56" s="50">
        <v>1114.5</v>
      </c>
      <c r="AE56" s="50">
        <v>24701.599999999999</v>
      </c>
      <c r="AF56" s="16">
        <f t="shared" ref="AF56:AG56" si="64">AD56/AD57-1</f>
        <v>-8.9645898700130289E-4</v>
      </c>
      <c r="AG56" s="16">
        <f t="shared" si="64"/>
        <v>-4.1729304969823078E-3</v>
      </c>
      <c r="AH56" s="16"/>
      <c r="AI56" s="51">
        <v>45363</v>
      </c>
      <c r="AJ56" s="50">
        <v>1292</v>
      </c>
      <c r="AK56" s="50">
        <v>32382.22</v>
      </c>
      <c r="AL56" s="16">
        <f t="shared" ref="AL56:AM56" si="65">AJ56/AJ57-1</f>
        <v>1.822199821656989E-3</v>
      </c>
      <c r="AM56" s="16">
        <f t="shared" si="65"/>
        <v>-1.5131506514345805E-2</v>
      </c>
      <c r="AN56" s="16"/>
      <c r="AO56" s="51">
        <v>45728</v>
      </c>
      <c r="AP56" s="50">
        <v>1438.35</v>
      </c>
      <c r="AQ56" s="50">
        <v>33490.870000000003</v>
      </c>
      <c r="AR56" s="16">
        <f t="shared" ref="AR56:AS56" si="66">AP56/AP57-1</f>
        <v>-2.7583409390528502E-2</v>
      </c>
      <c r="AS56" s="16">
        <f t="shared" si="66"/>
        <v>-1.2170580179697854E-3</v>
      </c>
    </row>
    <row r="57" spans="1:45" ht="15">
      <c r="A57" s="47">
        <v>44270</v>
      </c>
      <c r="B57" s="48">
        <v>6.4100000000000004E-2</v>
      </c>
      <c r="C57" s="16"/>
      <c r="D57" s="47">
        <v>44634</v>
      </c>
      <c r="E57" s="48">
        <v>6.9000000000000006E-2</v>
      </c>
      <c r="F57" s="16"/>
      <c r="G57" s="47">
        <v>44999</v>
      </c>
      <c r="H57" s="48">
        <v>7.3700000000000002E-2</v>
      </c>
      <c r="I57" s="16"/>
      <c r="J57" s="47">
        <v>45364</v>
      </c>
      <c r="K57" s="48">
        <v>7.0400000000000004E-2</v>
      </c>
      <c r="L57" s="16"/>
      <c r="M57" s="47">
        <v>45729</v>
      </c>
      <c r="N57" s="48">
        <v>6.7500000000000004E-2</v>
      </c>
      <c r="O57" s="16"/>
      <c r="P57" s="16"/>
      <c r="Q57" s="52">
        <v>44267</v>
      </c>
      <c r="R57" s="50">
        <v>1003.9</v>
      </c>
      <c r="S57" s="50">
        <v>21361.29</v>
      </c>
      <c r="T57" s="16">
        <f t="shared" ref="T57:U57" si="67">R57/R58-1</f>
        <v>-4.7586001784475362E-3</v>
      </c>
      <c r="U57" s="16">
        <f t="shared" si="67"/>
        <v>-9.4793960043996206E-3</v>
      </c>
      <c r="V57" s="16"/>
      <c r="W57" s="47">
        <v>44634</v>
      </c>
      <c r="X57" s="50">
        <v>1503</v>
      </c>
      <c r="Y57" s="50">
        <v>24264.29</v>
      </c>
      <c r="Z57" s="16">
        <f t="shared" ref="Z57:AA57" si="68">X57/X58-1</f>
        <v>1.0793906990820057E-2</v>
      </c>
      <c r="AA57" s="16">
        <f t="shared" si="68"/>
        <v>1.4479913838805647E-2</v>
      </c>
      <c r="AB57" s="16"/>
      <c r="AC57" s="47">
        <v>44999</v>
      </c>
      <c r="AD57" s="50">
        <v>1115.5</v>
      </c>
      <c r="AE57" s="50">
        <v>24805.11</v>
      </c>
      <c r="AF57" s="16">
        <f t="shared" ref="AF57:AG57" si="69">AD57/AD58-1</f>
        <v>-1.5966831333803722E-2</v>
      </c>
      <c r="AG57" s="16">
        <f t="shared" si="69"/>
        <v>-6.4714251153937807E-3</v>
      </c>
      <c r="AH57" s="16"/>
      <c r="AI57" s="51">
        <v>45362</v>
      </c>
      <c r="AJ57" s="50">
        <v>1289.6500000000001</v>
      </c>
      <c r="AK57" s="50">
        <v>32879.74</v>
      </c>
      <c r="AL57" s="16">
        <f t="shared" ref="AL57:AM57" si="70">AJ57/AJ58-1</f>
        <v>5.8189153541787775E-4</v>
      </c>
      <c r="AM57" s="16">
        <f t="shared" si="70"/>
        <v>1.3657690816026857E-4</v>
      </c>
      <c r="AN57" s="16"/>
      <c r="AO57" s="51">
        <v>45727</v>
      </c>
      <c r="AP57" s="50">
        <v>1479.15</v>
      </c>
      <c r="AQ57" s="50">
        <v>33531.68</v>
      </c>
      <c r="AR57" s="16">
        <f t="shared" ref="AR57:AS57" si="71">AP57/AP58-1</f>
        <v>-3.8723146339820769E-3</v>
      </c>
      <c r="AS57" s="16">
        <f t="shared" si="71"/>
        <v>1.725522436571536E-3</v>
      </c>
    </row>
    <row r="58" spans="1:45" ht="15">
      <c r="A58" s="51">
        <v>44267</v>
      </c>
      <c r="B58" s="48">
        <v>6.4000000000000001E-2</v>
      </c>
      <c r="C58" s="16"/>
      <c r="D58" s="51">
        <v>44631</v>
      </c>
      <c r="E58" s="48">
        <v>6.9000000000000006E-2</v>
      </c>
      <c r="F58" s="16"/>
      <c r="G58" s="47">
        <v>44998</v>
      </c>
      <c r="H58" s="48">
        <v>7.3599999999999999E-2</v>
      </c>
      <c r="I58" s="16"/>
      <c r="J58" s="51">
        <v>45363</v>
      </c>
      <c r="K58" s="48">
        <v>7.0199999999999999E-2</v>
      </c>
      <c r="L58" s="16"/>
      <c r="M58" s="51">
        <v>45728</v>
      </c>
      <c r="N58" s="48">
        <v>6.7500000000000004E-2</v>
      </c>
      <c r="O58" s="16"/>
      <c r="P58" s="16"/>
      <c r="Q58" s="51">
        <v>44265</v>
      </c>
      <c r="R58" s="50">
        <v>1008.7</v>
      </c>
      <c r="S58" s="50">
        <v>21565.72</v>
      </c>
      <c r="T58" s="16">
        <f t="shared" ref="T58:U58" si="72">R58/R59-1</f>
        <v>2.0641505615703881E-2</v>
      </c>
      <c r="U58" s="16">
        <f t="shared" si="72"/>
        <v>5.0589150386561865E-3</v>
      </c>
      <c r="V58" s="16"/>
      <c r="W58" s="51">
        <v>44631</v>
      </c>
      <c r="X58" s="50">
        <v>1486.95</v>
      </c>
      <c r="Y58" s="50">
        <v>23917.96</v>
      </c>
      <c r="Z58" s="16">
        <f t="shared" ref="Z58:AA58" si="73">X58/X59-1</f>
        <v>1.3131313131313771E-3</v>
      </c>
      <c r="AA58" s="16">
        <f t="shared" si="73"/>
        <v>2.1448231159892917E-3</v>
      </c>
      <c r="AB58" s="16"/>
      <c r="AC58" s="47">
        <v>44998</v>
      </c>
      <c r="AD58" s="50">
        <v>1133.5999999999999</v>
      </c>
      <c r="AE58" s="50">
        <v>24966.68</v>
      </c>
      <c r="AF58" s="16">
        <f t="shared" ref="AF58:AG58" si="74">AD58/AD59-1</f>
        <v>6.8325322778248987E-2</v>
      </c>
      <c r="AG58" s="16">
        <f t="shared" si="74"/>
        <v>-1.4852569280225936E-2</v>
      </c>
      <c r="AH58" s="16"/>
      <c r="AI58" s="51">
        <v>45358</v>
      </c>
      <c r="AJ58" s="50">
        <v>1288.9000000000001</v>
      </c>
      <c r="AK58" s="50">
        <v>32875.25</v>
      </c>
      <c r="AL58" s="16">
        <f t="shared" ref="AL58:AM58" si="75">AJ58/AJ59-1</f>
        <v>1.3764354255151767E-2</v>
      </c>
      <c r="AM58" s="16">
        <f t="shared" si="75"/>
        <v>-7.1544735089688061E-3</v>
      </c>
      <c r="AN58" s="16"/>
      <c r="AO58" s="51">
        <v>45726</v>
      </c>
      <c r="AP58" s="50">
        <v>1484.9</v>
      </c>
      <c r="AQ58" s="50">
        <v>33473.919999999998</v>
      </c>
      <c r="AR58" s="16">
        <f t="shared" ref="AR58:AS58" si="76">AP58/AP59-1</f>
        <v>-5.2254304280833219E-3</v>
      </c>
      <c r="AS58" s="16">
        <f t="shared" si="76"/>
        <v>-4.0873158729357595E-3</v>
      </c>
    </row>
    <row r="59" spans="1:45" ht="15">
      <c r="A59" s="51">
        <v>44265</v>
      </c>
      <c r="B59" s="48">
        <v>6.3899999999999998E-2</v>
      </c>
      <c r="C59" s="16"/>
      <c r="D59" s="51">
        <v>44630</v>
      </c>
      <c r="E59" s="48">
        <v>6.8500000000000005E-2</v>
      </c>
      <c r="F59" s="16"/>
      <c r="G59" s="51">
        <v>44995</v>
      </c>
      <c r="H59" s="48">
        <v>7.4200000000000002E-2</v>
      </c>
      <c r="I59" s="16"/>
      <c r="J59" s="51">
        <v>45362</v>
      </c>
      <c r="K59" s="48">
        <v>7.0099999999999996E-2</v>
      </c>
      <c r="L59" s="16"/>
      <c r="M59" s="51">
        <v>45727</v>
      </c>
      <c r="N59" s="48">
        <v>6.7599999999999993E-2</v>
      </c>
      <c r="O59" s="16"/>
      <c r="P59" s="16"/>
      <c r="Q59" s="51">
        <v>44264</v>
      </c>
      <c r="R59" s="49">
        <v>988.3</v>
      </c>
      <c r="S59" s="50">
        <v>21457.17</v>
      </c>
      <c r="T59" s="16">
        <f t="shared" ref="T59:U59" si="77">R59/R60-1</f>
        <v>2.0391306592328684E-2</v>
      </c>
      <c r="U59" s="16">
        <f t="shared" si="77"/>
        <v>9.5087946117300426E-3</v>
      </c>
      <c r="V59" s="16"/>
      <c r="W59" s="51">
        <v>44630</v>
      </c>
      <c r="X59" s="50">
        <v>1485</v>
      </c>
      <c r="Y59" s="50">
        <v>23866.77</v>
      </c>
      <c r="Z59" s="16">
        <f t="shared" ref="Z59:AA59" si="78">X59/X60-1</f>
        <v>-1.2829887655387839E-2</v>
      </c>
      <c r="AA59" s="16">
        <f t="shared" si="78"/>
        <v>1.5267227528483085E-2</v>
      </c>
      <c r="AB59" s="16"/>
      <c r="AC59" s="51">
        <v>44995</v>
      </c>
      <c r="AD59" s="50">
        <v>1061.0999999999999</v>
      </c>
      <c r="AE59" s="50">
        <v>25343.09</v>
      </c>
      <c r="AF59" s="16">
        <f t="shared" ref="AF59:AG59" si="79">AD59/AD60-1</f>
        <v>3.2995522036283198E-4</v>
      </c>
      <c r="AG59" s="16">
        <f t="shared" si="79"/>
        <v>-1.0044827704740356E-2</v>
      </c>
      <c r="AH59" s="16"/>
      <c r="AI59" s="51">
        <v>45357</v>
      </c>
      <c r="AJ59" s="50">
        <v>1271.4000000000001</v>
      </c>
      <c r="AK59" s="50">
        <v>33112.15</v>
      </c>
      <c r="AL59" s="16">
        <f t="shared" ref="AL59:AM59" si="80">AJ59/AJ60-1</f>
        <v>-1.0999371464486263E-3</v>
      </c>
      <c r="AM59" s="16">
        <f t="shared" si="80"/>
        <v>8.6841082330679775E-4</v>
      </c>
      <c r="AN59" s="16"/>
      <c r="AO59" s="51">
        <v>45723</v>
      </c>
      <c r="AP59" s="50">
        <v>1492.7</v>
      </c>
      <c r="AQ59" s="50">
        <v>33611.300000000003</v>
      </c>
      <c r="AR59" s="16">
        <f t="shared" ref="AR59:AS59" si="81">AP59/AP60-1</f>
        <v>-7.2492684224526593E-3</v>
      </c>
      <c r="AS59" s="16">
        <f t="shared" si="81"/>
        <v>3.5715029777416696E-4</v>
      </c>
    </row>
    <row r="60" spans="1:45" ht="15">
      <c r="A60" s="51">
        <v>44264</v>
      </c>
      <c r="B60" s="48">
        <v>6.3799999999999996E-2</v>
      </c>
      <c r="C60" s="16"/>
      <c r="D60" s="51">
        <v>44629</v>
      </c>
      <c r="E60" s="48">
        <v>6.88E-2</v>
      </c>
      <c r="F60" s="16"/>
      <c r="G60" s="51">
        <v>44994</v>
      </c>
      <c r="H60" s="48">
        <v>7.4399999999999994E-2</v>
      </c>
      <c r="I60" s="16"/>
      <c r="J60" s="51">
        <v>45358</v>
      </c>
      <c r="K60" s="48">
        <v>7.0300000000000001E-2</v>
      </c>
      <c r="L60" s="16"/>
      <c r="M60" s="51">
        <v>45726</v>
      </c>
      <c r="N60" s="48">
        <v>6.7699999999999996E-2</v>
      </c>
      <c r="O60" s="16"/>
      <c r="P60" s="16"/>
      <c r="Q60" s="51">
        <v>44263</v>
      </c>
      <c r="R60" s="49">
        <v>968.55</v>
      </c>
      <c r="S60" s="50">
        <v>21255.06</v>
      </c>
      <c r="T60" s="16">
        <f t="shared" ref="T60:U60" si="82">R60/R61-1</f>
        <v>9.4319958311619434E-3</v>
      </c>
      <c r="U60" s="16">
        <f t="shared" si="82"/>
        <v>1.3719062618664513E-3</v>
      </c>
      <c r="V60" s="16"/>
      <c r="W60" s="51">
        <v>44629</v>
      </c>
      <c r="X60" s="50">
        <v>1504.3</v>
      </c>
      <c r="Y60" s="50">
        <v>23507.87</v>
      </c>
      <c r="Z60" s="16">
        <f t="shared" ref="Z60:AA60" si="83">X60/X61-1</f>
        <v>2.8510871051552034E-2</v>
      </c>
      <c r="AA60" s="16">
        <f t="shared" si="83"/>
        <v>2.0725071383413951E-2</v>
      </c>
      <c r="AB60" s="16"/>
      <c r="AC60" s="51">
        <v>44994</v>
      </c>
      <c r="AD60" s="50">
        <v>1060.75</v>
      </c>
      <c r="AE60" s="50">
        <v>25600.240000000002</v>
      </c>
      <c r="AF60" s="16">
        <f t="shared" ref="AF60:AG60" si="84">AD60/AD61-1</f>
        <v>-1.6138756202754845E-2</v>
      </c>
      <c r="AG60" s="16">
        <f t="shared" si="84"/>
        <v>-9.2832386227307273E-3</v>
      </c>
      <c r="AH60" s="16"/>
      <c r="AI60" s="51">
        <v>45356</v>
      </c>
      <c r="AJ60" s="50">
        <v>1272.8</v>
      </c>
      <c r="AK60" s="50">
        <v>33083.42</v>
      </c>
      <c r="AL60" s="16">
        <f t="shared" ref="AL60:AM60" si="85">AJ60/AJ61-1</f>
        <v>-5.7026794781657175E-3</v>
      </c>
      <c r="AM60" s="16">
        <f t="shared" si="85"/>
        <v>5.2673847244930627E-3</v>
      </c>
      <c r="AN60" s="16"/>
      <c r="AO60" s="51">
        <v>45722</v>
      </c>
      <c r="AP60" s="50">
        <v>1503.6</v>
      </c>
      <c r="AQ60" s="50">
        <v>33599.300000000003</v>
      </c>
      <c r="AR60" s="16">
        <f t="shared" ref="AR60:AS60" si="86">AP60/AP61-1</f>
        <v>-2.3065427847443365E-2</v>
      </c>
      <c r="AS60" s="16">
        <f t="shared" si="86"/>
        <v>9.2850148091632168E-3</v>
      </c>
    </row>
    <row r="61" spans="1:45" ht="15">
      <c r="A61" s="51">
        <v>44263</v>
      </c>
      <c r="B61" s="48">
        <v>6.3500000000000001E-2</v>
      </c>
      <c r="C61" s="16"/>
      <c r="D61" s="51">
        <v>44628</v>
      </c>
      <c r="E61" s="48">
        <v>6.93E-2</v>
      </c>
      <c r="F61" s="16"/>
      <c r="G61" s="51">
        <v>44993</v>
      </c>
      <c r="H61" s="48">
        <v>7.46E-2</v>
      </c>
      <c r="I61" s="16"/>
      <c r="J61" s="51">
        <v>45357</v>
      </c>
      <c r="K61" s="48">
        <v>7.0499999999999993E-2</v>
      </c>
      <c r="L61" s="16"/>
      <c r="M61" s="51">
        <v>45723</v>
      </c>
      <c r="N61" s="48">
        <v>6.7500000000000004E-2</v>
      </c>
      <c r="O61" s="16"/>
      <c r="P61" s="16"/>
      <c r="Q61" s="51">
        <v>44260</v>
      </c>
      <c r="R61" s="49">
        <v>959.5</v>
      </c>
      <c r="S61" s="50">
        <v>21225.94</v>
      </c>
      <c r="T61" s="16">
        <f t="shared" ref="T61:U61" si="87">R61/R62-1</f>
        <v>-9.0369222824683293E-3</v>
      </c>
      <c r="U61" s="16">
        <f t="shared" si="87"/>
        <v>-9.458840812501923E-3</v>
      </c>
      <c r="V61" s="16"/>
      <c r="W61" s="51">
        <v>44628</v>
      </c>
      <c r="X61" s="50">
        <v>1462.6</v>
      </c>
      <c r="Y61" s="50">
        <v>23030.560000000001</v>
      </c>
      <c r="Z61" s="16">
        <f t="shared" ref="Z61:AA61" si="88">X61/X62-1</f>
        <v>2.6926452518869493E-2</v>
      </c>
      <c r="AA61" s="16">
        <f t="shared" si="88"/>
        <v>9.4742752497216642E-3</v>
      </c>
      <c r="AB61" s="16"/>
      <c r="AC61" s="51">
        <v>44993</v>
      </c>
      <c r="AD61" s="50">
        <v>1078.1500000000001</v>
      </c>
      <c r="AE61" s="50">
        <v>25840.12</v>
      </c>
      <c r="AF61" s="16">
        <f t="shared" ref="AF61:AG61" si="89">AD61/AD62-1</f>
        <v>-1.1370409426436079E-2</v>
      </c>
      <c r="AG61" s="16">
        <f t="shared" si="89"/>
        <v>2.4253615542175755E-3</v>
      </c>
      <c r="AH61" s="16"/>
      <c r="AI61" s="51">
        <v>45355</v>
      </c>
      <c r="AJ61" s="50">
        <v>1280.0999999999999</v>
      </c>
      <c r="AK61" s="50">
        <v>32910.07</v>
      </c>
      <c r="AL61" s="16">
        <f t="shared" ref="AL61:AM61" si="90">AJ61/AJ62-1</f>
        <v>6.6449101560963619E-3</v>
      </c>
      <c r="AM61" s="16">
        <f t="shared" si="90"/>
        <v>-2.2014584624414635E-3</v>
      </c>
      <c r="AN61" s="16"/>
      <c r="AO61" s="51">
        <v>45721</v>
      </c>
      <c r="AP61" s="50">
        <v>1539.1</v>
      </c>
      <c r="AQ61" s="50">
        <v>33290.199999999997</v>
      </c>
      <c r="AR61" s="16">
        <f t="shared" ref="AR61:AS61" si="91">AP61/AP62-1</f>
        <v>3.5245846505683742E-2</v>
      </c>
      <c r="AS61" s="16">
        <f t="shared" si="91"/>
        <v>1.1533355636157649E-2</v>
      </c>
    </row>
    <row r="62" spans="1:45" ht="15">
      <c r="A62" s="51">
        <v>44260</v>
      </c>
      <c r="B62" s="48">
        <v>6.3399999999999998E-2</v>
      </c>
      <c r="C62" s="16"/>
      <c r="D62" s="51">
        <v>44627</v>
      </c>
      <c r="E62" s="48">
        <v>6.9199999999999998E-2</v>
      </c>
      <c r="F62" s="16"/>
      <c r="G62" s="51">
        <v>44991</v>
      </c>
      <c r="H62" s="48">
        <v>7.4099999999999999E-2</v>
      </c>
      <c r="I62" s="16"/>
      <c r="J62" s="51">
        <v>45356</v>
      </c>
      <c r="K62" s="48">
        <v>7.0599999999999996E-2</v>
      </c>
      <c r="L62" s="16"/>
      <c r="M62" s="51">
        <v>45722</v>
      </c>
      <c r="N62" s="48">
        <v>6.7599999999999993E-2</v>
      </c>
      <c r="O62" s="16"/>
      <c r="P62" s="16"/>
      <c r="Q62" s="51">
        <v>44259</v>
      </c>
      <c r="R62" s="49">
        <v>968.25</v>
      </c>
      <c r="S62" s="50">
        <v>21428.63</v>
      </c>
      <c r="T62" s="16">
        <f t="shared" ref="T62:U62" si="92">R62/R63-1</f>
        <v>-7.7372412379586031E-3</v>
      </c>
      <c r="U62" s="16">
        <f t="shared" si="92"/>
        <v>-1.0815254822526099E-2</v>
      </c>
      <c r="V62" s="16"/>
      <c r="W62" s="51">
        <v>44627</v>
      </c>
      <c r="X62" s="50">
        <v>1424.25</v>
      </c>
      <c r="Y62" s="50">
        <v>22814.41</v>
      </c>
      <c r="Z62" s="16">
        <f t="shared" ref="Z62:AA62" si="93">X62/X63-1</f>
        <v>-2.0191249312052739E-2</v>
      </c>
      <c r="AA62" s="16">
        <f t="shared" si="93"/>
        <v>-2.3525866854533506E-2</v>
      </c>
      <c r="AB62" s="16"/>
      <c r="AC62" s="51">
        <v>44991</v>
      </c>
      <c r="AD62" s="50">
        <v>1090.55</v>
      </c>
      <c r="AE62" s="50">
        <v>25777.599999999999</v>
      </c>
      <c r="AF62" s="16">
        <f t="shared" ref="AF62:AG62" si="94">AD62/AD63-1</f>
        <v>4.6985121378229078E-3</v>
      </c>
      <c r="AG62" s="16">
        <f t="shared" si="94"/>
        <v>6.6567371444057333E-3</v>
      </c>
      <c r="AH62" s="16"/>
      <c r="AI62" s="51">
        <v>45352</v>
      </c>
      <c r="AJ62" s="50">
        <v>1271.6500000000001</v>
      </c>
      <c r="AK62" s="50">
        <v>32982.68</v>
      </c>
      <c r="AL62" s="16">
        <f t="shared" ref="AL62:AM62" si="95">AJ62/AJ63-1</f>
        <v>-3.604309500489622E-3</v>
      </c>
      <c r="AM62" s="16">
        <f t="shared" si="95"/>
        <v>1.2157499264631166E-3</v>
      </c>
      <c r="AN62" s="16"/>
      <c r="AO62" s="51">
        <v>45720</v>
      </c>
      <c r="AP62" s="50">
        <v>1486.7</v>
      </c>
      <c r="AQ62" s="50">
        <v>32910.629999999997</v>
      </c>
      <c r="AR62" s="16">
        <f t="shared" ref="AR62:AS62" si="96">AP62/AP63-1</f>
        <v>-4.3197267521682958E-3</v>
      </c>
      <c r="AS62" s="16">
        <f t="shared" si="96"/>
        <v>-1.656896277140385E-3</v>
      </c>
    </row>
    <row r="63" spans="1:45" ht="15">
      <c r="A63" s="51">
        <v>44259</v>
      </c>
      <c r="B63" s="48">
        <v>6.2899999999999998E-2</v>
      </c>
      <c r="C63" s="16"/>
      <c r="D63" s="51">
        <v>44624</v>
      </c>
      <c r="E63" s="48">
        <v>6.8400000000000002E-2</v>
      </c>
      <c r="F63" s="16"/>
      <c r="G63" s="51">
        <v>44988</v>
      </c>
      <c r="H63" s="48">
        <v>7.4099999999999999E-2</v>
      </c>
      <c r="I63" s="16"/>
      <c r="J63" s="51">
        <v>45355</v>
      </c>
      <c r="K63" s="48">
        <v>7.0499999999999993E-2</v>
      </c>
      <c r="L63" s="16"/>
      <c r="M63" s="51">
        <v>45721</v>
      </c>
      <c r="N63" s="48">
        <v>6.7799999999999999E-2</v>
      </c>
      <c r="O63" s="16"/>
      <c r="P63" s="16"/>
      <c r="Q63" s="51">
        <v>44258</v>
      </c>
      <c r="R63" s="49">
        <v>975.8</v>
      </c>
      <c r="S63" s="50">
        <v>21662.92</v>
      </c>
      <c r="T63" s="16">
        <f t="shared" ref="T63:U63" si="97">R63/R64-1</f>
        <v>8.2661706964248793E-3</v>
      </c>
      <c r="U63" s="16">
        <f t="shared" si="97"/>
        <v>2.1887425450246578E-2</v>
      </c>
      <c r="V63" s="16"/>
      <c r="W63" s="51">
        <v>44624</v>
      </c>
      <c r="X63" s="50">
        <v>1453.6</v>
      </c>
      <c r="Y63" s="50">
        <v>23364.07</v>
      </c>
      <c r="Z63" s="16">
        <f t="shared" ref="Z63:AA63" si="98">X63/X64-1</f>
        <v>1.8426399495550916E-2</v>
      </c>
      <c r="AA63" s="16">
        <f t="shared" si="98"/>
        <v>-1.5318486450765723E-2</v>
      </c>
      <c r="AB63" s="16"/>
      <c r="AC63" s="51">
        <v>44988</v>
      </c>
      <c r="AD63" s="50">
        <v>1085.45</v>
      </c>
      <c r="AE63" s="50">
        <v>25607.14</v>
      </c>
      <c r="AF63" s="16">
        <f t="shared" ref="AF63:AG63" si="99">AD63/AD64-1</f>
        <v>-2.1896823608920868E-2</v>
      </c>
      <c r="AG63" s="16">
        <f t="shared" si="99"/>
        <v>1.5727083593639835E-2</v>
      </c>
      <c r="AH63" s="16"/>
      <c r="AI63" s="47">
        <v>45351</v>
      </c>
      <c r="AJ63" s="50">
        <v>1276.25</v>
      </c>
      <c r="AK63" s="50">
        <v>32942.629999999997</v>
      </c>
      <c r="AL63" s="16">
        <f t="shared" ref="AL63:AM63" si="100">AJ63/AJ64-1</f>
        <v>-6.0358255451713472E-3</v>
      </c>
      <c r="AM63" s="16">
        <f t="shared" si="100"/>
        <v>1.774099425591924E-3</v>
      </c>
      <c r="AN63" s="16"/>
      <c r="AO63" s="51">
        <v>45719</v>
      </c>
      <c r="AP63" s="50">
        <v>1493.15</v>
      </c>
      <c r="AQ63" s="50">
        <v>32965.25</v>
      </c>
      <c r="AR63" s="16">
        <f t="shared" ref="AR63:AS63" si="101">AP63/AP64-1</f>
        <v>2.8544563100274534E-3</v>
      </c>
      <c r="AS63" s="16">
        <f t="shared" si="101"/>
        <v>-2.4595612943301148E-4</v>
      </c>
    </row>
    <row r="64" spans="1:45" ht="15">
      <c r="A64" s="51">
        <v>44258</v>
      </c>
      <c r="B64" s="48">
        <v>6.3299999999999995E-2</v>
      </c>
      <c r="C64" s="16"/>
      <c r="D64" s="51">
        <v>44623</v>
      </c>
      <c r="E64" s="48">
        <v>6.8500000000000005E-2</v>
      </c>
      <c r="F64" s="16"/>
      <c r="G64" s="51">
        <v>44987</v>
      </c>
      <c r="H64" s="48">
        <v>7.4399999999999994E-2</v>
      </c>
      <c r="I64" s="16"/>
      <c r="J64" s="51">
        <v>45352</v>
      </c>
      <c r="K64" s="48">
        <v>7.0699999999999999E-2</v>
      </c>
      <c r="L64" s="16"/>
      <c r="M64" s="51">
        <v>45720</v>
      </c>
      <c r="N64" s="48">
        <v>6.7900000000000002E-2</v>
      </c>
      <c r="O64" s="16"/>
      <c r="P64" s="16"/>
      <c r="Q64" s="51">
        <v>44257</v>
      </c>
      <c r="R64" s="49">
        <v>967.8</v>
      </c>
      <c r="S64" s="50">
        <v>21198.93</v>
      </c>
      <c r="T64" s="16">
        <f t="shared" ref="T64:U64" si="102">R64/R65-1</f>
        <v>3.4361139314914801E-2</v>
      </c>
      <c r="U64" s="16">
        <f t="shared" si="102"/>
        <v>1.0672188139449146E-2</v>
      </c>
      <c r="V64" s="16"/>
      <c r="W64" s="51">
        <v>44623</v>
      </c>
      <c r="X64" s="50">
        <v>1427.3</v>
      </c>
      <c r="Y64" s="50">
        <v>23727.54</v>
      </c>
      <c r="Z64" s="16">
        <f t="shared" ref="Z64:AA64" si="103">X64/X65-1</f>
        <v>2.4255471833512621E-2</v>
      </c>
      <c r="AA64" s="16">
        <f t="shared" si="103"/>
        <v>-6.4975848647055301E-3</v>
      </c>
      <c r="AB64" s="16"/>
      <c r="AC64" s="51">
        <v>44987</v>
      </c>
      <c r="AD64" s="50">
        <v>1109.75</v>
      </c>
      <c r="AE64" s="50">
        <v>25210.65</v>
      </c>
      <c r="AF64" s="16">
        <f t="shared" ref="AF64:AG64" si="104">AD64/AD65-1</f>
        <v>-1.5306122448979553E-2</v>
      </c>
      <c r="AG64" s="16">
        <f t="shared" si="104"/>
        <v>-7.3921979337281396E-3</v>
      </c>
      <c r="AH64" s="16"/>
      <c r="AI64" s="47">
        <v>45350</v>
      </c>
      <c r="AJ64" s="50">
        <v>1284</v>
      </c>
      <c r="AK64" s="50">
        <v>32884.29</v>
      </c>
      <c r="AL64" s="16">
        <f t="shared" ref="AL64:AM64" si="105">AJ64/AJ65-1</f>
        <v>-9.0298680250058272E-3</v>
      </c>
      <c r="AM64" s="16">
        <f t="shared" si="105"/>
        <v>1.6193941641365672E-2</v>
      </c>
      <c r="AN64" s="16"/>
      <c r="AO64" s="47">
        <v>45716</v>
      </c>
      <c r="AP64" s="50">
        <v>1488.9</v>
      </c>
      <c r="AQ64" s="50">
        <v>32973.360000000001</v>
      </c>
      <c r="AR64" s="16">
        <f t="shared" ref="AR64:AS64" si="106">AP64/AP65-1</f>
        <v>-6.193296370967738E-2</v>
      </c>
      <c r="AS64" s="16">
        <f t="shared" si="106"/>
        <v>-1.8643866524165831E-2</v>
      </c>
    </row>
    <row r="65" spans="1:45" ht="15">
      <c r="A65" s="51">
        <v>44257</v>
      </c>
      <c r="B65" s="48">
        <v>6.3200000000000006E-2</v>
      </c>
      <c r="C65" s="16"/>
      <c r="D65" s="51">
        <v>44622</v>
      </c>
      <c r="E65" s="48">
        <v>6.83E-2</v>
      </c>
      <c r="F65" s="16"/>
      <c r="G65" s="51">
        <v>44986</v>
      </c>
      <c r="H65" s="48">
        <v>7.46E-2</v>
      </c>
      <c r="I65" s="16"/>
      <c r="J65" s="47">
        <v>45351</v>
      </c>
      <c r="K65" s="48">
        <v>7.0699999999999999E-2</v>
      </c>
      <c r="L65" s="16"/>
      <c r="M65" s="51">
        <v>45719</v>
      </c>
      <c r="N65" s="48">
        <v>6.8000000000000005E-2</v>
      </c>
      <c r="O65" s="16"/>
      <c r="P65" s="16"/>
      <c r="Q65" s="51">
        <v>44256</v>
      </c>
      <c r="R65" s="49">
        <v>935.65</v>
      </c>
      <c r="S65" s="50">
        <v>20975.08</v>
      </c>
      <c r="T65" s="16">
        <f t="shared" ref="T65:U65" si="107">R65/R66-1</f>
        <v>1.8560853472675776E-2</v>
      </c>
      <c r="U65" s="16">
        <f t="shared" si="107"/>
        <v>1.5994280422070739E-2</v>
      </c>
      <c r="V65" s="16"/>
      <c r="W65" s="51">
        <v>44622</v>
      </c>
      <c r="X65" s="50">
        <v>1393.5</v>
      </c>
      <c r="Y65" s="50">
        <v>23882.720000000001</v>
      </c>
      <c r="Z65" s="16">
        <f t="shared" ref="Z65:AA65" si="108">X65/X66-1</f>
        <v>-1.2402551381998528E-2</v>
      </c>
      <c r="AA65" s="16">
        <f t="shared" si="108"/>
        <v>-1.1190737717576282E-2</v>
      </c>
      <c r="AB65" s="16"/>
      <c r="AC65" s="51">
        <v>44986</v>
      </c>
      <c r="AD65" s="50">
        <v>1127</v>
      </c>
      <c r="AE65" s="50">
        <v>25398.400000000001</v>
      </c>
      <c r="AF65" s="16">
        <f t="shared" ref="AF65:AG65" si="109">AD65/AD66-1</f>
        <v>2.3010938138247061E-2</v>
      </c>
      <c r="AG65" s="16">
        <f t="shared" si="109"/>
        <v>8.4945206311668464E-3</v>
      </c>
      <c r="AH65" s="16"/>
      <c r="AI65" s="47">
        <v>45349</v>
      </c>
      <c r="AJ65" s="50">
        <v>1295.7</v>
      </c>
      <c r="AK65" s="50">
        <v>32360.25</v>
      </c>
      <c r="AL65" s="16">
        <f t="shared" ref="AL65:AM65" si="110">AJ65/AJ66-1</f>
        <v>-1.6181229773462036E-3</v>
      </c>
      <c r="AM65" s="16">
        <f t="shared" si="110"/>
        <v>1.4405654567566373E-3</v>
      </c>
      <c r="AN65" s="16"/>
      <c r="AO65" s="47">
        <v>45715</v>
      </c>
      <c r="AP65" s="50">
        <v>1587.2</v>
      </c>
      <c r="AQ65" s="50">
        <v>33599.79</v>
      </c>
      <c r="AR65" s="16">
        <f t="shared" ref="AR65:AS65" si="111">AP65/AP66-1</f>
        <v>-4.6718715705641456E-3</v>
      </c>
      <c r="AS65" s="16">
        <f t="shared" si="111"/>
        <v>-1.1189293988289606E-4</v>
      </c>
    </row>
    <row r="66" spans="1:45" ht="15">
      <c r="A66" s="51">
        <v>44256</v>
      </c>
      <c r="B66" s="48">
        <v>6.3E-2</v>
      </c>
      <c r="C66" s="16"/>
      <c r="D66" s="47">
        <v>44620</v>
      </c>
      <c r="E66" s="48">
        <v>6.7799999999999999E-2</v>
      </c>
      <c r="F66" s="16"/>
      <c r="G66" s="47">
        <v>44985</v>
      </c>
      <c r="H66" s="48">
        <v>7.46E-2</v>
      </c>
      <c r="I66" s="16"/>
      <c r="J66" s="47">
        <v>45350</v>
      </c>
      <c r="K66" s="48">
        <v>7.0699999999999999E-2</v>
      </c>
      <c r="L66" s="16"/>
      <c r="M66" s="47">
        <v>45716</v>
      </c>
      <c r="N66" s="48">
        <v>6.7699999999999996E-2</v>
      </c>
      <c r="O66" s="16"/>
      <c r="P66" s="16"/>
      <c r="Q66" s="47">
        <v>44253</v>
      </c>
      <c r="R66" s="49">
        <v>918.6</v>
      </c>
      <c r="S66" s="50">
        <v>20644.88</v>
      </c>
      <c r="T66" s="16">
        <f t="shared" ref="T66:U66" si="112">R66/R67-1</f>
        <v>-4.0927124660680603E-2</v>
      </c>
      <c r="U66" s="16">
        <f t="shared" si="112"/>
        <v>-3.763523063325791E-2</v>
      </c>
      <c r="V66" s="16"/>
      <c r="W66" s="47">
        <v>44620</v>
      </c>
      <c r="X66" s="50">
        <v>1411</v>
      </c>
      <c r="Y66" s="50">
        <v>24153.01</v>
      </c>
      <c r="Z66" s="16">
        <f t="shared" ref="Z66:AA66" si="113">X66/X67-1</f>
        <v>1.5473191795609909E-2</v>
      </c>
      <c r="AA66" s="16">
        <f t="shared" si="113"/>
        <v>8.135453145282856E-3</v>
      </c>
      <c r="AB66" s="16"/>
      <c r="AC66" s="47">
        <v>44985</v>
      </c>
      <c r="AD66" s="50">
        <v>1101.6500000000001</v>
      </c>
      <c r="AE66" s="50">
        <v>25184.47</v>
      </c>
      <c r="AF66" s="16">
        <f t="shared" ref="AF66:AG66" si="114">AD66/AD67-1</f>
        <v>-1.1086175942549237E-2</v>
      </c>
      <c r="AG66" s="16">
        <f t="shared" si="114"/>
        <v>-5.1051406945645805E-3</v>
      </c>
      <c r="AH66" s="16"/>
      <c r="AI66" s="47">
        <v>45348</v>
      </c>
      <c r="AJ66" s="50">
        <v>1297.8</v>
      </c>
      <c r="AK66" s="50">
        <v>32313.7</v>
      </c>
      <c r="AL66" s="16">
        <f t="shared" ref="AL66:AM66" si="115">AJ66/AJ67-1</f>
        <v>-1.8157058556513839E-2</v>
      </c>
      <c r="AM66" s="16">
        <f t="shared" si="115"/>
        <v>-1.1136371356411878E-2</v>
      </c>
      <c r="AN66" s="16"/>
      <c r="AO66" s="47">
        <v>45713</v>
      </c>
      <c r="AP66" s="50">
        <v>1594.65</v>
      </c>
      <c r="AQ66" s="50">
        <v>33603.550000000003</v>
      </c>
      <c r="AR66" s="16">
        <f t="shared" ref="AR66:AS66" si="116">AP66/AP67-1</f>
        <v>-1.1498884205306203E-2</v>
      </c>
      <c r="AS66" s="16">
        <f t="shared" si="116"/>
        <v>-2.567521654351923E-4</v>
      </c>
    </row>
    <row r="67" spans="1:45" ht="15">
      <c r="A67" s="47">
        <v>44253</v>
      </c>
      <c r="B67" s="48">
        <v>6.3200000000000006E-2</v>
      </c>
      <c r="C67" s="16"/>
      <c r="D67" s="47">
        <v>44617</v>
      </c>
      <c r="E67" s="48">
        <v>6.7699999999999996E-2</v>
      </c>
      <c r="F67" s="16"/>
      <c r="G67" s="47">
        <v>44984</v>
      </c>
      <c r="H67" s="48">
        <v>7.4499999999999997E-2</v>
      </c>
      <c r="I67" s="16"/>
      <c r="J67" s="47">
        <v>45349</v>
      </c>
      <c r="K67" s="48">
        <v>7.0699999999999999E-2</v>
      </c>
      <c r="L67" s="16"/>
      <c r="M67" s="47">
        <v>45715</v>
      </c>
      <c r="N67" s="48">
        <v>6.7599999999999993E-2</v>
      </c>
      <c r="O67" s="16"/>
      <c r="P67" s="16"/>
      <c r="Q67" s="47">
        <v>44252</v>
      </c>
      <c r="R67" s="49">
        <v>957.8</v>
      </c>
      <c r="S67" s="50">
        <v>21452.240000000002</v>
      </c>
      <c r="T67" s="16">
        <f t="shared" ref="T67:U67" si="117">R67/R68-1</f>
        <v>-2.0837674515523652E-3</v>
      </c>
      <c r="U67" s="16">
        <f t="shared" si="117"/>
        <v>7.6985769211801447E-3</v>
      </c>
      <c r="V67" s="16"/>
      <c r="W67" s="47">
        <v>44617</v>
      </c>
      <c r="X67" s="50">
        <v>1389.5</v>
      </c>
      <c r="Y67" s="50">
        <v>23958.1</v>
      </c>
      <c r="Z67" s="16">
        <f t="shared" ref="Z67:AA67" si="118">X67/X68-1</f>
        <v>4.2620244616192737E-2</v>
      </c>
      <c r="AA67" s="16">
        <f t="shared" si="118"/>
        <v>2.5259063200080423E-2</v>
      </c>
      <c r="AB67" s="16"/>
      <c r="AC67" s="47">
        <v>44984</v>
      </c>
      <c r="AD67" s="50">
        <v>1114</v>
      </c>
      <c r="AE67" s="50">
        <v>25313.7</v>
      </c>
      <c r="AF67" s="16">
        <f t="shared" ref="AF67:AG67" si="119">AD67/AD68-1</f>
        <v>-4.0677663045907142E-3</v>
      </c>
      <c r="AG67" s="16">
        <f t="shared" si="119"/>
        <v>-4.1844888704082317E-3</v>
      </c>
      <c r="AH67" s="16"/>
      <c r="AI67" s="47">
        <v>45345</v>
      </c>
      <c r="AJ67" s="50">
        <v>1321.8</v>
      </c>
      <c r="AK67" s="50">
        <v>32677.61</v>
      </c>
      <c r="AL67" s="16">
        <f t="shared" ref="AL67:AM67" si="120">AJ67/AJ68-1</f>
        <v>-4.1437504708807804E-3</v>
      </c>
      <c r="AM67" s="16">
        <f t="shared" si="120"/>
        <v>3.4490710815104908E-3</v>
      </c>
      <c r="AN67" s="16"/>
      <c r="AO67" s="47">
        <v>45712</v>
      </c>
      <c r="AP67" s="50">
        <v>1613.2</v>
      </c>
      <c r="AQ67" s="50">
        <v>33612.18</v>
      </c>
      <c r="AR67" s="16">
        <f t="shared" ref="AR67:AS67" si="121">AP67/AP68-1</f>
        <v>-2.1917725164458668E-2</v>
      </c>
      <c r="AS67" s="16">
        <f t="shared" si="121"/>
        <v>-1.0638551511011007E-2</v>
      </c>
    </row>
    <row r="68" spans="1:45" ht="15">
      <c r="A68" s="47">
        <v>44252</v>
      </c>
      <c r="B68" s="48">
        <v>6.2399999999999997E-2</v>
      </c>
      <c r="C68" s="16"/>
      <c r="D68" s="47">
        <v>44616</v>
      </c>
      <c r="E68" s="48">
        <v>6.7900000000000002E-2</v>
      </c>
      <c r="F68" s="16"/>
      <c r="G68" s="47">
        <v>44981</v>
      </c>
      <c r="H68" s="48">
        <v>7.4099999999999999E-2</v>
      </c>
      <c r="I68" s="16"/>
      <c r="J68" s="47">
        <v>45348</v>
      </c>
      <c r="K68" s="48">
        <v>7.0499999999999993E-2</v>
      </c>
      <c r="L68" s="16"/>
      <c r="M68" s="47">
        <v>45713</v>
      </c>
      <c r="N68" s="48">
        <v>6.7599999999999993E-2</v>
      </c>
      <c r="O68" s="16"/>
      <c r="P68" s="16"/>
      <c r="Q68" s="47">
        <v>44251</v>
      </c>
      <c r="R68" s="49">
        <v>959.8</v>
      </c>
      <c r="S68" s="50">
        <v>21288.35</v>
      </c>
      <c r="T68" s="16">
        <f t="shared" ref="T68:U68" si="122">R68/R69-1</f>
        <v>1.4748638790505808E-2</v>
      </c>
      <c r="U68" s="16">
        <f t="shared" si="122"/>
        <v>1.864226329325902E-2</v>
      </c>
      <c r="V68" s="16"/>
      <c r="W68" s="47">
        <v>44616</v>
      </c>
      <c r="X68" s="50">
        <v>1332.7</v>
      </c>
      <c r="Y68" s="50">
        <v>23367.85</v>
      </c>
      <c r="Z68" s="16">
        <f t="shared" ref="Z68:AA68" si="123">X68/X69-1</f>
        <v>-5.74964639321075E-2</v>
      </c>
      <c r="AA68" s="16">
        <f t="shared" si="123"/>
        <v>-4.7780782798657495E-2</v>
      </c>
      <c r="AB68" s="16"/>
      <c r="AC68" s="47">
        <v>44981</v>
      </c>
      <c r="AD68" s="50">
        <v>1118.55</v>
      </c>
      <c r="AE68" s="50">
        <v>25420.07</v>
      </c>
      <c r="AF68" s="16">
        <f t="shared" ref="AF68:AG68" si="124">AD68/AD69-1</f>
        <v>-8.8609277391342722E-3</v>
      </c>
      <c r="AG68" s="16">
        <f t="shared" si="124"/>
        <v>-2.5857363875104733E-3</v>
      </c>
      <c r="AH68" s="16"/>
      <c r="AI68" s="47">
        <v>45344</v>
      </c>
      <c r="AJ68" s="50">
        <v>1327.3</v>
      </c>
      <c r="AK68" s="50">
        <v>32565.29</v>
      </c>
      <c r="AL68" s="16">
        <f t="shared" ref="AL68:AM68" si="125">AJ68/AJ69-1</f>
        <v>2.3164386201580234E-2</v>
      </c>
      <c r="AM68" s="16">
        <f t="shared" si="125"/>
        <v>-4.0796741398507752E-3</v>
      </c>
      <c r="AN68" s="16"/>
      <c r="AO68" s="47">
        <v>45709</v>
      </c>
      <c r="AP68" s="50">
        <v>1649.35</v>
      </c>
      <c r="AQ68" s="50">
        <v>33973.61</v>
      </c>
      <c r="AR68" s="16">
        <f t="shared" ref="AR68:AS68" si="126">AP68/AP69-1</f>
        <v>-4.9470604205001933E-3</v>
      </c>
      <c r="AS68" s="16">
        <f t="shared" si="126"/>
        <v>-5.1173760613979491E-3</v>
      </c>
    </row>
    <row r="69" spans="1:45" ht="15">
      <c r="A69" s="47">
        <v>44251</v>
      </c>
      <c r="B69" s="48">
        <v>6.2199999999999998E-2</v>
      </c>
      <c r="C69" s="16"/>
      <c r="D69" s="47">
        <v>44615</v>
      </c>
      <c r="E69" s="48">
        <v>6.7599999999999993E-2</v>
      </c>
      <c r="F69" s="16"/>
      <c r="G69" s="47">
        <v>44980</v>
      </c>
      <c r="H69" s="48">
        <v>7.3800000000000004E-2</v>
      </c>
      <c r="I69" s="16"/>
      <c r="J69" s="47">
        <v>45345</v>
      </c>
      <c r="K69" s="48">
        <v>7.0800000000000002E-2</v>
      </c>
      <c r="L69" s="16"/>
      <c r="M69" s="47">
        <v>45712</v>
      </c>
      <c r="N69" s="48">
        <v>6.7599999999999993E-2</v>
      </c>
      <c r="O69" s="16"/>
      <c r="P69" s="16"/>
      <c r="Q69" s="47">
        <v>44250</v>
      </c>
      <c r="R69" s="49">
        <v>945.85</v>
      </c>
      <c r="S69" s="50">
        <v>20898.75</v>
      </c>
      <c r="T69" s="16">
        <f t="shared" ref="T69:U69" si="127">R69/R70-1</f>
        <v>-4.7350975956226282E-3</v>
      </c>
      <c r="U69" s="16">
        <f t="shared" si="127"/>
        <v>2.1881617714760715E-3</v>
      </c>
      <c r="V69" s="16"/>
      <c r="W69" s="47">
        <v>44615</v>
      </c>
      <c r="X69" s="50">
        <v>1414</v>
      </c>
      <c r="Y69" s="50">
        <v>24540.41</v>
      </c>
      <c r="Z69" s="16">
        <f t="shared" ref="Z69:AA69" si="128">X69/X70-1</f>
        <v>7.7854059027515632E-4</v>
      </c>
      <c r="AA69" s="16">
        <f t="shared" si="128"/>
        <v>-1.6939189367851659E-3</v>
      </c>
      <c r="AB69" s="16"/>
      <c r="AC69" s="47">
        <v>44980</v>
      </c>
      <c r="AD69" s="50">
        <v>1128.55</v>
      </c>
      <c r="AE69" s="50">
        <v>25485.97</v>
      </c>
      <c r="AF69" s="16">
        <f t="shared" ref="AF69:AG69" si="129">AD69/AD70-1</f>
        <v>2.3981880357064611E-3</v>
      </c>
      <c r="AG69" s="16">
        <f t="shared" si="129"/>
        <v>-2.4541394914098236E-3</v>
      </c>
      <c r="AH69" s="16"/>
      <c r="AI69" s="47">
        <v>45343</v>
      </c>
      <c r="AJ69" s="50">
        <v>1297.25</v>
      </c>
      <c r="AK69" s="50">
        <v>32698.69</v>
      </c>
      <c r="AL69" s="16">
        <f t="shared" ref="AL69:AM69" si="130">AJ69/AJ70-1</f>
        <v>-1.7011441994392751E-2</v>
      </c>
      <c r="AM69" s="16">
        <f t="shared" si="130"/>
        <v>-2.1433572741147433E-4</v>
      </c>
      <c r="AN69" s="16"/>
      <c r="AO69" s="47">
        <v>45708</v>
      </c>
      <c r="AP69" s="50">
        <v>1657.55</v>
      </c>
      <c r="AQ69" s="50">
        <v>34148.36</v>
      </c>
      <c r="AR69" s="16">
        <f t="shared" ref="AR69:AS69" si="131">AP69/AP70-1</f>
        <v>-1.6932566277207739E-2</v>
      </c>
      <c r="AS69" s="16">
        <f t="shared" si="131"/>
        <v>-8.6196252423353936E-4</v>
      </c>
    </row>
    <row r="70" spans="1:45" ht="15">
      <c r="A70" s="47">
        <v>44250</v>
      </c>
      <c r="B70" s="48">
        <v>6.2199999999999998E-2</v>
      </c>
      <c r="C70" s="16"/>
      <c r="D70" s="47">
        <v>44614</v>
      </c>
      <c r="E70" s="48">
        <v>6.7799999999999999E-2</v>
      </c>
      <c r="F70" s="16"/>
      <c r="G70" s="47">
        <v>44979</v>
      </c>
      <c r="H70" s="48">
        <v>7.4300000000000005E-2</v>
      </c>
      <c r="I70" s="16"/>
      <c r="J70" s="47">
        <v>45344</v>
      </c>
      <c r="K70" s="48">
        <v>7.0699999999999999E-2</v>
      </c>
      <c r="L70" s="16"/>
      <c r="M70" s="47">
        <v>45709</v>
      </c>
      <c r="N70" s="48">
        <v>6.7599999999999993E-2</v>
      </c>
      <c r="O70" s="16"/>
      <c r="P70" s="16"/>
      <c r="Q70" s="47">
        <v>44249</v>
      </c>
      <c r="R70" s="49">
        <v>950.35</v>
      </c>
      <c r="S70" s="50">
        <v>20853.12</v>
      </c>
      <c r="T70" s="16">
        <f t="shared" ref="T70:U70" si="132">R70/R71-1</f>
        <v>-4.4153884837817459E-2</v>
      </c>
      <c r="U70" s="16">
        <f t="shared" si="132"/>
        <v>-1.9750597933181901E-2</v>
      </c>
      <c r="V70" s="16"/>
      <c r="W70" s="47">
        <v>44614</v>
      </c>
      <c r="X70" s="50">
        <v>1412.9</v>
      </c>
      <c r="Y70" s="50">
        <v>24582.05</v>
      </c>
      <c r="Z70" s="16">
        <f t="shared" ref="Z70:AA70" si="133">X70/X71-1</f>
        <v>-3.842493037684469E-3</v>
      </c>
      <c r="AA70" s="16">
        <f t="shared" si="133"/>
        <v>-6.648996892097081E-3</v>
      </c>
      <c r="AB70" s="16"/>
      <c r="AC70" s="47">
        <v>44979</v>
      </c>
      <c r="AD70" s="50">
        <v>1125.8499999999999</v>
      </c>
      <c r="AE70" s="50">
        <v>25548.67</v>
      </c>
      <c r="AF70" s="16">
        <f t="shared" ref="AF70:AG70" si="134">AD70/AD71-1</f>
        <v>-7.3620172809029105E-3</v>
      </c>
      <c r="AG70" s="16">
        <f t="shared" si="134"/>
        <v>-1.5278812013684417E-2</v>
      </c>
      <c r="AH70" s="16"/>
      <c r="AI70" s="47">
        <v>45342</v>
      </c>
      <c r="AJ70" s="50">
        <v>1319.7</v>
      </c>
      <c r="AK70" s="50">
        <v>32705.7</v>
      </c>
      <c r="AL70" s="16">
        <f t="shared" ref="AL70:AM70" si="135">AJ70/AJ71-1</f>
        <v>8.0201649862512436E-3</v>
      </c>
      <c r="AM70" s="16">
        <f t="shared" si="135"/>
        <v>7.3629401247126136E-3</v>
      </c>
      <c r="AN70" s="16"/>
      <c r="AO70" s="47">
        <v>45707</v>
      </c>
      <c r="AP70" s="50">
        <v>1686.1</v>
      </c>
      <c r="AQ70" s="50">
        <v>34177.82</v>
      </c>
      <c r="AR70" s="16">
        <f t="shared" ref="AR70:AS70" si="136">AP70/AP71-1</f>
        <v>-1.0794954532120871E-2</v>
      </c>
      <c r="AS70" s="16">
        <f t="shared" si="136"/>
        <v>-5.40993884722063E-4</v>
      </c>
    </row>
    <row r="71" spans="1:45" ht="15">
      <c r="A71" s="47">
        <v>44249</v>
      </c>
      <c r="B71" s="48">
        <v>6.2300000000000001E-2</v>
      </c>
      <c r="C71" s="16"/>
      <c r="D71" s="47">
        <v>44613</v>
      </c>
      <c r="E71" s="48">
        <v>6.7299999999999999E-2</v>
      </c>
      <c r="F71" s="16"/>
      <c r="G71" s="47">
        <v>44978</v>
      </c>
      <c r="H71" s="48">
        <v>7.3899999999999993E-2</v>
      </c>
      <c r="I71" s="16"/>
      <c r="J71" s="47">
        <v>45343</v>
      </c>
      <c r="K71" s="48">
        <v>7.0400000000000004E-2</v>
      </c>
      <c r="L71" s="16"/>
      <c r="M71" s="47">
        <v>45708</v>
      </c>
      <c r="N71" s="48">
        <v>6.7500000000000004E-2</v>
      </c>
      <c r="O71" s="16"/>
      <c r="P71" s="16"/>
      <c r="Q71" s="47">
        <v>44246</v>
      </c>
      <c r="R71" s="49">
        <v>994.25</v>
      </c>
      <c r="S71" s="50">
        <v>21273.279999999999</v>
      </c>
      <c r="T71" s="16">
        <f t="shared" ref="T71:U71" si="137">R71/R72-1</f>
        <v>-1.5447838787938872E-2</v>
      </c>
      <c r="U71" s="16">
        <f t="shared" si="137"/>
        <v>-9.0753214884776723E-3</v>
      </c>
      <c r="V71" s="16"/>
      <c r="W71" s="47">
        <v>44613</v>
      </c>
      <c r="X71" s="50">
        <v>1418.35</v>
      </c>
      <c r="Y71" s="50">
        <v>24746.59</v>
      </c>
      <c r="Z71" s="16">
        <f t="shared" ref="Z71:AA71" si="138">X71/X72-1</f>
        <v>-1.3458997009111906E-2</v>
      </c>
      <c r="AA71" s="16">
        <f t="shared" si="138"/>
        <v>-3.7075239102882795E-3</v>
      </c>
      <c r="AB71" s="16"/>
      <c r="AC71" s="47">
        <v>44978</v>
      </c>
      <c r="AD71" s="50">
        <v>1134.2</v>
      </c>
      <c r="AE71" s="50">
        <v>25945.08</v>
      </c>
      <c r="AF71" s="16">
        <f t="shared" ref="AF71:AG71" si="139">AD71/AD72-1</f>
        <v>-8.6530897648805505E-3</v>
      </c>
      <c r="AG71" s="16">
        <f t="shared" si="139"/>
        <v>-1.0053447685683947E-3</v>
      </c>
      <c r="AH71" s="16"/>
      <c r="AI71" s="47">
        <v>45341</v>
      </c>
      <c r="AJ71" s="50">
        <v>1309.2</v>
      </c>
      <c r="AK71" s="50">
        <v>32466.65</v>
      </c>
      <c r="AL71" s="16">
        <f t="shared" ref="AL71:AM71" si="140">AJ71/AJ72-1</f>
        <v>4.5655093036640615E-3</v>
      </c>
      <c r="AM71" s="16">
        <f t="shared" si="140"/>
        <v>-6.3925512455343947E-3</v>
      </c>
      <c r="AN71" s="16"/>
      <c r="AO71" s="47">
        <v>45706</v>
      </c>
      <c r="AP71" s="50">
        <v>1704.5</v>
      </c>
      <c r="AQ71" s="50">
        <v>34196.32</v>
      </c>
      <c r="AR71" s="16">
        <f t="shared" ref="AR71:AS71" si="141">AP71/AP72-1</f>
        <v>2.3785212325064586E-2</v>
      </c>
      <c r="AS71" s="16">
        <f t="shared" si="141"/>
        <v>-6.1839738052027471E-4</v>
      </c>
    </row>
    <row r="72" spans="1:45" ht="15">
      <c r="A72" s="47">
        <v>44245</v>
      </c>
      <c r="B72" s="48">
        <v>6.13E-2</v>
      </c>
      <c r="C72" s="16"/>
      <c r="D72" s="47">
        <v>44610</v>
      </c>
      <c r="E72" s="48">
        <v>6.7000000000000004E-2</v>
      </c>
      <c r="F72" s="16"/>
      <c r="G72" s="47">
        <v>44977</v>
      </c>
      <c r="H72" s="48">
        <v>7.3700000000000002E-2</v>
      </c>
      <c r="I72" s="16"/>
      <c r="J72" s="47">
        <v>45342</v>
      </c>
      <c r="K72" s="48">
        <v>7.0900000000000005E-2</v>
      </c>
      <c r="L72" s="16"/>
      <c r="M72" s="47">
        <v>45706</v>
      </c>
      <c r="N72" s="48">
        <v>6.7500000000000004E-2</v>
      </c>
      <c r="O72" s="16"/>
      <c r="P72" s="16"/>
      <c r="Q72" s="47">
        <v>44245</v>
      </c>
      <c r="R72" s="50">
        <v>1009.85</v>
      </c>
      <c r="S72" s="50">
        <v>21468.11</v>
      </c>
      <c r="T72" s="16">
        <f t="shared" ref="T72:U72" si="142">R72/R73-1</f>
        <v>2.9671170022941729E-2</v>
      </c>
      <c r="U72" s="16">
        <f t="shared" si="142"/>
        <v>-5.9136443997032107E-3</v>
      </c>
      <c r="V72" s="16"/>
      <c r="W72" s="47">
        <v>44610</v>
      </c>
      <c r="X72" s="50">
        <v>1437.7</v>
      </c>
      <c r="Y72" s="50">
        <v>24838.68</v>
      </c>
      <c r="Z72" s="16">
        <f t="shared" ref="Z72:AA72" si="143">X72/X73-1</f>
        <v>-6.5644002211165953E-3</v>
      </c>
      <c r="AA72" s="16">
        <f t="shared" si="143"/>
        <v>-1.6334851595621869E-3</v>
      </c>
      <c r="AB72" s="16"/>
      <c r="AC72" s="47">
        <v>44977</v>
      </c>
      <c r="AD72" s="50">
        <v>1144.0999999999999</v>
      </c>
      <c r="AE72" s="50">
        <v>25971.19</v>
      </c>
      <c r="AF72" s="16">
        <f t="shared" ref="AF72:AG72" si="144">AD72/AD73-1</f>
        <v>1.3464434405173087E-2</v>
      </c>
      <c r="AG72" s="16">
        <f t="shared" si="144"/>
        <v>-5.5494460892353548E-3</v>
      </c>
      <c r="AH72" s="16"/>
      <c r="AI72" s="47">
        <v>45338</v>
      </c>
      <c r="AJ72" s="50">
        <v>1303.25</v>
      </c>
      <c r="AK72" s="50">
        <v>32675.53</v>
      </c>
      <c r="AL72" s="16">
        <f t="shared" ref="AL72:AM72" si="145">AJ72/AJ73-1</f>
        <v>2.2301688007075882E-3</v>
      </c>
      <c r="AM72" s="16">
        <f t="shared" si="145"/>
        <v>3.506919555521959E-3</v>
      </c>
      <c r="AN72" s="16"/>
      <c r="AO72" s="47">
        <v>45705</v>
      </c>
      <c r="AP72" s="50">
        <v>1664.9</v>
      </c>
      <c r="AQ72" s="50">
        <v>34217.480000000003</v>
      </c>
      <c r="AR72" s="16">
        <f t="shared" ref="AR72:AS72" si="146">AP72/AP73-1</f>
        <v>4.1313591266849414E-3</v>
      </c>
      <c r="AS72" s="16">
        <f t="shared" si="146"/>
        <v>1.3197793071482167E-3</v>
      </c>
    </row>
    <row r="73" spans="1:45" ht="15">
      <c r="A73" s="47">
        <v>44244</v>
      </c>
      <c r="B73" s="48">
        <v>6.1199999999999997E-2</v>
      </c>
      <c r="C73" s="16"/>
      <c r="D73" s="47">
        <v>44609</v>
      </c>
      <c r="E73" s="48">
        <v>6.7199999999999996E-2</v>
      </c>
      <c r="F73" s="16"/>
      <c r="G73" s="47">
        <v>44974</v>
      </c>
      <c r="H73" s="48">
        <v>7.3899999999999993E-2</v>
      </c>
      <c r="I73" s="16"/>
      <c r="J73" s="47">
        <v>45338</v>
      </c>
      <c r="K73" s="48">
        <v>7.0900000000000005E-2</v>
      </c>
      <c r="L73" s="16"/>
      <c r="M73" s="47">
        <v>45705</v>
      </c>
      <c r="N73" s="48">
        <v>6.7500000000000004E-2</v>
      </c>
      <c r="O73" s="16"/>
      <c r="P73" s="16"/>
      <c r="Q73" s="47">
        <v>44244</v>
      </c>
      <c r="R73" s="49">
        <v>980.75</v>
      </c>
      <c r="S73" s="50">
        <v>21595.82</v>
      </c>
      <c r="T73" s="16">
        <f t="shared" ref="T73:U73" si="147">R73/R74-1</f>
        <v>-6.6845596799514073E-3</v>
      </c>
      <c r="U73" s="16">
        <f t="shared" si="147"/>
        <v>-6.5360499404266692E-3</v>
      </c>
      <c r="V73" s="16"/>
      <c r="W73" s="47">
        <v>44609</v>
      </c>
      <c r="X73" s="50">
        <v>1447.2</v>
      </c>
      <c r="Y73" s="50">
        <v>24879.32</v>
      </c>
      <c r="Z73" s="16">
        <f t="shared" ref="Z73:AA73" si="148">X73/X74-1</f>
        <v>2.4243263835976858E-3</v>
      </c>
      <c r="AA73" s="16">
        <f t="shared" si="148"/>
        <v>-1.017881385298347E-3</v>
      </c>
      <c r="AB73" s="16"/>
      <c r="AC73" s="47">
        <v>44974</v>
      </c>
      <c r="AD73" s="50">
        <v>1128.9000000000001</v>
      </c>
      <c r="AE73" s="50">
        <v>26116.12</v>
      </c>
      <c r="AF73" s="16">
        <f t="shared" ref="AF73:AG73" si="149">AD73/AD74-1</f>
        <v>-1.5036263930654492E-3</v>
      </c>
      <c r="AG73" s="16">
        <f t="shared" si="149"/>
        <v>-5.0819976898626162E-3</v>
      </c>
      <c r="AH73" s="16"/>
      <c r="AI73" s="47">
        <v>45337</v>
      </c>
      <c r="AJ73" s="50">
        <v>1300.3499999999999</v>
      </c>
      <c r="AK73" s="50">
        <v>32561.34</v>
      </c>
      <c r="AL73" s="16">
        <f t="shared" ref="AL73:AM73" si="150">AJ73/AJ74-1</f>
        <v>5.9178463680666926E-3</v>
      </c>
      <c r="AM73" s="16">
        <f t="shared" si="150"/>
        <v>3.6996028521651958E-3</v>
      </c>
      <c r="AN73" s="16"/>
      <c r="AO73" s="47">
        <v>45702</v>
      </c>
      <c r="AP73" s="50">
        <v>1658.05</v>
      </c>
      <c r="AQ73" s="50">
        <v>34172.379999999997</v>
      </c>
      <c r="AR73" s="16">
        <f t="shared" ref="AR73:AS73" si="151">AP73/AP74-1</f>
        <v>-1.0621475669063463E-2</v>
      </c>
      <c r="AS73" s="16">
        <f t="shared" si="151"/>
        <v>-4.426308933814016E-3</v>
      </c>
    </row>
    <row r="74" spans="1:45" ht="15">
      <c r="A74" s="47">
        <v>44243</v>
      </c>
      <c r="B74" s="48">
        <v>6.0999999999999999E-2</v>
      </c>
      <c r="C74" s="16"/>
      <c r="D74" s="47">
        <v>44608</v>
      </c>
      <c r="E74" s="48">
        <v>6.7299999999999999E-2</v>
      </c>
      <c r="F74" s="16"/>
      <c r="G74" s="47">
        <v>44973</v>
      </c>
      <c r="H74" s="48">
        <v>7.3400000000000007E-2</v>
      </c>
      <c r="I74" s="16"/>
      <c r="J74" s="47">
        <v>45337</v>
      </c>
      <c r="K74" s="48">
        <v>7.0800000000000002E-2</v>
      </c>
      <c r="L74" s="16"/>
      <c r="M74" s="47">
        <v>45702</v>
      </c>
      <c r="N74" s="48">
        <v>6.7599999999999993E-2</v>
      </c>
      <c r="O74" s="16"/>
      <c r="P74" s="16"/>
      <c r="Q74" s="47">
        <v>44243</v>
      </c>
      <c r="R74" s="49">
        <v>987.35</v>
      </c>
      <c r="S74" s="50">
        <v>21737.9</v>
      </c>
      <c r="T74" s="16">
        <f t="shared" ref="T74:U74" si="152">R74/R75-1</f>
        <v>8.4261056071903706E-3</v>
      </c>
      <c r="U74" s="16">
        <f t="shared" si="152"/>
        <v>-8.2337880622840309E-5</v>
      </c>
      <c r="V74" s="16"/>
      <c r="W74" s="47">
        <v>44608</v>
      </c>
      <c r="X74" s="50">
        <v>1443.7</v>
      </c>
      <c r="Y74" s="50">
        <v>24904.67</v>
      </c>
      <c r="Z74" s="16">
        <f t="shared" ref="Z74:AA74" si="153">X74/X75-1</f>
        <v>2.9525165861961078E-3</v>
      </c>
      <c r="AA74" s="16">
        <f t="shared" si="153"/>
        <v>-1.4938699611458661E-3</v>
      </c>
      <c r="AB74" s="16"/>
      <c r="AC74" s="47">
        <v>44973</v>
      </c>
      <c r="AD74" s="50">
        <v>1130.5999999999999</v>
      </c>
      <c r="AE74" s="50">
        <v>26249.52</v>
      </c>
      <c r="AF74" s="16">
        <f t="shared" ref="AF74:AG74" si="154">AD74/AD75-1</f>
        <v>5.579679693701256E-2</v>
      </c>
      <c r="AG74" s="16">
        <f t="shared" si="154"/>
        <v>1.1094402341991216E-3</v>
      </c>
      <c r="AH74" s="16"/>
      <c r="AI74" s="47">
        <v>45336</v>
      </c>
      <c r="AJ74" s="50">
        <v>1292.7</v>
      </c>
      <c r="AK74" s="50">
        <v>32441.32</v>
      </c>
      <c r="AL74" s="16">
        <f t="shared" ref="AL74:AM74" si="155">AJ74/AJ75-1</f>
        <v>-2.7533288196795236E-2</v>
      </c>
      <c r="AM74" s="16">
        <f t="shared" si="155"/>
        <v>6.0949381279891135E-3</v>
      </c>
      <c r="AN74" s="16"/>
      <c r="AO74" s="47">
        <v>45701</v>
      </c>
      <c r="AP74" s="50">
        <v>1675.85</v>
      </c>
      <c r="AQ74" s="50">
        <v>34324.31</v>
      </c>
      <c r="AR74" s="16">
        <f t="shared" ref="AR74:AS74" si="156">AP74/AP75-1</f>
        <v>-7.4533420785882765E-4</v>
      </c>
      <c r="AS74" s="16">
        <f t="shared" si="156"/>
        <v>-6.0037973581550386E-4</v>
      </c>
    </row>
    <row r="75" spans="1:45" ht="15">
      <c r="A75" s="47">
        <v>44242</v>
      </c>
      <c r="B75" s="48">
        <v>6.0999999999999999E-2</v>
      </c>
      <c r="C75" s="16"/>
      <c r="D75" s="47">
        <v>44607</v>
      </c>
      <c r="E75" s="48">
        <v>6.7100000000000007E-2</v>
      </c>
      <c r="F75" s="16"/>
      <c r="G75" s="47">
        <v>44972</v>
      </c>
      <c r="H75" s="48">
        <v>7.3499999999999996E-2</v>
      </c>
      <c r="I75" s="16"/>
      <c r="J75" s="47">
        <v>45336</v>
      </c>
      <c r="K75" s="48">
        <v>7.1300000000000002E-2</v>
      </c>
      <c r="L75" s="16"/>
      <c r="M75" s="47">
        <v>45701</v>
      </c>
      <c r="N75" s="48">
        <v>6.7400000000000002E-2</v>
      </c>
      <c r="O75" s="16"/>
      <c r="P75" s="16"/>
      <c r="Q75" s="47">
        <v>44242</v>
      </c>
      <c r="R75" s="49">
        <v>979.1</v>
      </c>
      <c r="S75" s="50">
        <v>21739.69</v>
      </c>
      <c r="T75" s="16">
        <f t="shared" ref="T75:U75" si="157">R75/R76-1</f>
        <v>-1.1908366131799353E-2</v>
      </c>
      <c r="U75" s="16">
        <f t="shared" si="157"/>
        <v>1.0123214486507104E-2</v>
      </c>
      <c r="V75" s="16"/>
      <c r="W75" s="47">
        <v>44607</v>
      </c>
      <c r="X75" s="50">
        <v>1439.45</v>
      </c>
      <c r="Y75" s="50">
        <v>24941.93</v>
      </c>
      <c r="Z75" s="16">
        <f t="shared" ref="Z75:AA75" si="158">X75/X76-1</f>
        <v>3.5501043090425233E-2</v>
      </c>
      <c r="AA75" s="16">
        <f t="shared" si="158"/>
        <v>3.0258932694682716E-2</v>
      </c>
      <c r="AB75" s="16"/>
      <c r="AC75" s="47">
        <v>44972</v>
      </c>
      <c r="AD75" s="50">
        <v>1070.8499999999999</v>
      </c>
      <c r="AE75" s="50">
        <v>26220.43</v>
      </c>
      <c r="AF75" s="16">
        <f t="shared" ref="AF75:AG75" si="159">AD75/AD76-1</f>
        <v>5.7890837243763871E-2</v>
      </c>
      <c r="AG75" s="16">
        <f t="shared" si="159"/>
        <v>5.4643907702796035E-3</v>
      </c>
      <c r="AH75" s="16"/>
      <c r="AI75" s="47">
        <v>45335</v>
      </c>
      <c r="AJ75" s="50">
        <v>1329.3</v>
      </c>
      <c r="AK75" s="50">
        <v>32244.79</v>
      </c>
      <c r="AL75" s="16">
        <f t="shared" ref="AL75:AM75" si="160">AJ75/AJ76-1</f>
        <v>8.4970791290495118E-3</v>
      </c>
      <c r="AM75" s="16">
        <f t="shared" si="160"/>
        <v>3.4777288423379904E-3</v>
      </c>
      <c r="AN75" s="16"/>
      <c r="AO75" s="51">
        <v>45700</v>
      </c>
      <c r="AP75" s="50">
        <v>1677.1</v>
      </c>
      <c r="AQ75" s="50">
        <v>34344.93</v>
      </c>
      <c r="AR75" s="16">
        <f t="shared" ref="AR75:AS75" si="161">AP75/AP76-1</f>
        <v>4.1913657864798282E-3</v>
      </c>
      <c r="AS75" s="16">
        <f t="shared" si="161"/>
        <v>-5.6628387700174976E-4</v>
      </c>
    </row>
    <row r="76" spans="1:45" ht="15">
      <c r="A76" s="51">
        <v>44239</v>
      </c>
      <c r="B76" s="48">
        <v>6.0499999999999998E-2</v>
      </c>
      <c r="C76" s="16"/>
      <c r="D76" s="47">
        <v>44606</v>
      </c>
      <c r="E76" s="48">
        <v>6.6699999999999995E-2</v>
      </c>
      <c r="F76" s="16"/>
      <c r="G76" s="47">
        <v>44971</v>
      </c>
      <c r="H76" s="48">
        <v>7.3800000000000004E-2</v>
      </c>
      <c r="I76" s="16"/>
      <c r="J76" s="47">
        <v>45335</v>
      </c>
      <c r="K76" s="48">
        <v>7.0999999999999994E-2</v>
      </c>
      <c r="L76" s="16"/>
      <c r="M76" s="51">
        <v>45700</v>
      </c>
      <c r="N76" s="48">
        <v>6.7400000000000002E-2</v>
      </c>
      <c r="O76" s="16"/>
      <c r="P76" s="16"/>
      <c r="Q76" s="52">
        <v>44239</v>
      </c>
      <c r="R76" s="49">
        <v>990.9</v>
      </c>
      <c r="S76" s="50">
        <v>21521.82</v>
      </c>
      <c r="T76" s="16">
        <f t="shared" ref="T76:U76" si="162">R76/R77-1</f>
        <v>5.479452054794498E-3</v>
      </c>
      <c r="U76" s="16">
        <f t="shared" si="162"/>
        <v>-6.5843239227336703E-4</v>
      </c>
      <c r="V76" s="16"/>
      <c r="W76" s="47">
        <v>44606</v>
      </c>
      <c r="X76" s="50">
        <v>1390.1</v>
      </c>
      <c r="Y76" s="50">
        <v>24209.38</v>
      </c>
      <c r="Z76" s="16">
        <f t="shared" ref="Z76:AA76" si="163">X76/X77-1</f>
        <v>-2.4046056095762935E-2</v>
      </c>
      <c r="AA76" s="16">
        <f t="shared" si="163"/>
        <v>-3.0012681075948233E-2</v>
      </c>
      <c r="AB76" s="16"/>
      <c r="AC76" s="47">
        <v>44971</v>
      </c>
      <c r="AD76" s="50">
        <v>1012.25</v>
      </c>
      <c r="AE76" s="50">
        <v>26077.93</v>
      </c>
      <c r="AF76" s="16">
        <f t="shared" ref="AF76:AG76" si="164">AD76/AD77-1</f>
        <v>9.4236138811327752E-3</v>
      </c>
      <c r="AG76" s="16">
        <f t="shared" si="164"/>
        <v>8.9462097675911956E-3</v>
      </c>
      <c r="AH76" s="16"/>
      <c r="AI76" s="51">
        <v>45334</v>
      </c>
      <c r="AJ76" s="50">
        <v>1318.1</v>
      </c>
      <c r="AK76" s="50">
        <v>32133.040000000001</v>
      </c>
      <c r="AL76" s="16">
        <f t="shared" ref="AL76:AM76" si="165">AJ76/AJ77-1</f>
        <v>4.8408614446349141E-3</v>
      </c>
      <c r="AM76" s="16">
        <f t="shared" si="165"/>
        <v>4.4522439553356108E-3</v>
      </c>
      <c r="AN76" s="16"/>
      <c r="AO76" s="51">
        <v>45699</v>
      </c>
      <c r="AP76" s="50">
        <v>1670.1</v>
      </c>
      <c r="AQ76" s="50">
        <v>34364.39</v>
      </c>
      <c r="AR76" s="16">
        <f t="shared" ref="AR76:AS76" si="166">AP76/AP77-1</f>
        <v>-1.6778523489932917E-2</v>
      </c>
      <c r="AS76" s="16">
        <f t="shared" si="166"/>
        <v>-1.3251068817519918E-2</v>
      </c>
    </row>
    <row r="77" spans="1:45" ht="15">
      <c r="A77" s="51">
        <v>44238</v>
      </c>
      <c r="B77" s="48">
        <v>6.0199999999999997E-2</v>
      </c>
      <c r="C77" s="16"/>
      <c r="D77" s="51">
        <v>44603</v>
      </c>
      <c r="E77" s="48">
        <v>6.7199999999999996E-2</v>
      </c>
      <c r="F77" s="16"/>
      <c r="G77" s="47">
        <v>44970</v>
      </c>
      <c r="H77" s="48">
        <v>7.3700000000000002E-2</v>
      </c>
      <c r="I77" s="16"/>
      <c r="J77" s="51">
        <v>45334</v>
      </c>
      <c r="K77" s="48">
        <v>7.0999999999999994E-2</v>
      </c>
      <c r="L77" s="16"/>
      <c r="M77" s="51">
        <v>45699</v>
      </c>
      <c r="N77" s="48">
        <v>6.7400000000000002E-2</v>
      </c>
      <c r="O77" s="16"/>
      <c r="P77" s="16"/>
      <c r="Q77" s="51">
        <v>44238</v>
      </c>
      <c r="R77" s="49">
        <v>985.5</v>
      </c>
      <c r="S77" s="50">
        <v>21536</v>
      </c>
      <c r="T77" s="16">
        <f t="shared" ref="T77:U77" si="167">R77/R78-1</f>
        <v>1.0717399107738057E-2</v>
      </c>
      <c r="U77" s="16">
        <f t="shared" si="167"/>
        <v>4.6444278994086652E-3</v>
      </c>
      <c r="V77" s="16"/>
      <c r="W77" s="51">
        <v>44603</v>
      </c>
      <c r="X77" s="50">
        <v>1424.35</v>
      </c>
      <c r="Y77" s="50">
        <v>24958.45</v>
      </c>
      <c r="Z77" s="16">
        <f t="shared" ref="Z77:AA77" si="168">X77/X78-1</f>
        <v>-2.9370677024770919E-2</v>
      </c>
      <c r="AA77" s="16">
        <f t="shared" si="168"/>
        <v>-1.3126314232820069E-2</v>
      </c>
      <c r="AB77" s="16"/>
      <c r="AC77" s="47">
        <v>44970</v>
      </c>
      <c r="AD77" s="50">
        <v>1002.8</v>
      </c>
      <c r="AE77" s="50">
        <v>25846.7</v>
      </c>
      <c r="AF77" s="16">
        <f t="shared" ref="AF77:AG77" si="169">AD77/AD78-1</f>
        <v>-1.4786068674166208E-2</v>
      </c>
      <c r="AG77" s="16">
        <f t="shared" si="169"/>
        <v>-4.7949211492870347E-3</v>
      </c>
      <c r="AH77" s="16"/>
      <c r="AI77" s="51">
        <v>45331</v>
      </c>
      <c r="AJ77" s="50">
        <v>1311.75</v>
      </c>
      <c r="AK77" s="50">
        <v>31990.61</v>
      </c>
      <c r="AL77" s="16">
        <f t="shared" ref="AL77:AM77" si="170">AJ77/AJ78-1</f>
        <v>1.5270089711776347E-3</v>
      </c>
      <c r="AM77" s="16">
        <f t="shared" si="170"/>
        <v>5.8826821685147301E-3</v>
      </c>
      <c r="AN77" s="16"/>
      <c r="AO77" s="51">
        <v>45698</v>
      </c>
      <c r="AP77" s="50">
        <v>1698.6</v>
      </c>
      <c r="AQ77" s="50">
        <v>34825.870000000003</v>
      </c>
      <c r="AR77" s="16">
        <f t="shared" ref="AR77:AS77" si="171">AP77/AP78-1</f>
        <v>4.1084148612300364E-3</v>
      </c>
      <c r="AS77" s="16">
        <f t="shared" si="171"/>
        <v>-7.5696393713576837E-3</v>
      </c>
    </row>
    <row r="78" spans="1:45" ht="15">
      <c r="A78" s="51">
        <v>44237</v>
      </c>
      <c r="B78" s="48">
        <v>6.0400000000000002E-2</v>
      </c>
      <c r="C78" s="16"/>
      <c r="D78" s="51">
        <v>44602</v>
      </c>
      <c r="E78" s="48">
        <v>6.7500000000000004E-2</v>
      </c>
      <c r="F78" s="16"/>
      <c r="G78" s="51">
        <v>44967</v>
      </c>
      <c r="H78" s="48">
        <v>7.3700000000000002E-2</v>
      </c>
      <c r="I78" s="16"/>
      <c r="J78" s="51">
        <v>45331</v>
      </c>
      <c r="K78" s="48">
        <v>7.1099999999999997E-2</v>
      </c>
      <c r="L78" s="16"/>
      <c r="M78" s="51">
        <v>45698</v>
      </c>
      <c r="N78" s="48">
        <v>6.7599999999999993E-2</v>
      </c>
      <c r="O78" s="16"/>
      <c r="P78" s="16"/>
      <c r="Q78" s="51">
        <v>44237</v>
      </c>
      <c r="R78" s="49">
        <v>975.05</v>
      </c>
      <c r="S78" s="50">
        <v>21436.44</v>
      </c>
      <c r="T78" s="16">
        <f t="shared" ref="T78:U78" si="172">R78/R79-1</f>
        <v>-3.0758189367929845E-4</v>
      </c>
      <c r="U78" s="16">
        <f t="shared" si="172"/>
        <v>-1.8563069193600068E-4</v>
      </c>
      <c r="V78" s="16"/>
      <c r="W78" s="51">
        <v>44602</v>
      </c>
      <c r="X78" s="50">
        <v>1467.45</v>
      </c>
      <c r="Y78" s="50">
        <v>25290.42</v>
      </c>
      <c r="Z78" s="16">
        <f t="shared" ref="Z78:AA78" si="173">X78/X79-1</f>
        <v>9.1809366618527122E-3</v>
      </c>
      <c r="AA78" s="16">
        <f t="shared" si="173"/>
        <v>8.2050341643877811E-3</v>
      </c>
      <c r="AB78" s="16"/>
      <c r="AC78" s="51">
        <v>44967</v>
      </c>
      <c r="AD78" s="50">
        <v>1017.85</v>
      </c>
      <c r="AE78" s="50">
        <v>25971.23</v>
      </c>
      <c r="AF78" s="16">
        <f t="shared" ref="AF78:AG78" si="174">AD78/AD79-1</f>
        <v>2.0181138019295108E-3</v>
      </c>
      <c r="AG78" s="16">
        <f t="shared" si="174"/>
        <v>-2.0637895803025108E-3</v>
      </c>
      <c r="AH78" s="16"/>
      <c r="AI78" s="51">
        <v>45330</v>
      </c>
      <c r="AJ78" s="50">
        <v>1309.75</v>
      </c>
      <c r="AK78" s="50">
        <v>31803.52</v>
      </c>
      <c r="AL78" s="16">
        <f t="shared" ref="AL78:AM78" si="175">AJ78/AJ79-1</f>
        <v>-7.163432383262669E-3</v>
      </c>
      <c r="AM78" s="16">
        <f t="shared" si="175"/>
        <v>-7.6403237854768546E-3</v>
      </c>
      <c r="AN78" s="16"/>
      <c r="AO78" s="51">
        <v>45695</v>
      </c>
      <c r="AP78" s="50">
        <v>1691.65</v>
      </c>
      <c r="AQ78" s="50">
        <v>35091.5</v>
      </c>
      <c r="AR78" s="16">
        <f t="shared" ref="AR78:AS78" si="176">AP78/AP79-1</f>
        <v>1.2751818481156807E-2</v>
      </c>
      <c r="AS78" s="16">
        <f t="shared" si="176"/>
        <v>-1.4677142697794299E-3</v>
      </c>
    </row>
    <row r="79" spans="1:45" ht="15">
      <c r="A79" s="51">
        <v>44236</v>
      </c>
      <c r="B79" s="48">
        <v>6.1100000000000002E-2</v>
      </c>
      <c r="C79" s="16"/>
      <c r="D79" s="51">
        <v>44601</v>
      </c>
      <c r="E79" s="48">
        <v>6.8199999999999997E-2</v>
      </c>
      <c r="F79" s="16"/>
      <c r="G79" s="51">
        <v>44966</v>
      </c>
      <c r="H79" s="48">
        <v>7.3400000000000007E-2</v>
      </c>
      <c r="I79" s="16"/>
      <c r="J79" s="51">
        <v>45330</v>
      </c>
      <c r="K79" s="48">
        <v>7.0800000000000002E-2</v>
      </c>
      <c r="L79" s="16"/>
      <c r="M79" s="51">
        <v>45695</v>
      </c>
      <c r="N79" s="48">
        <v>6.7500000000000004E-2</v>
      </c>
      <c r="O79" s="16"/>
      <c r="P79" s="16"/>
      <c r="Q79" s="51">
        <v>44236</v>
      </c>
      <c r="R79" s="49">
        <v>975.35</v>
      </c>
      <c r="S79" s="50">
        <v>21440.42</v>
      </c>
      <c r="T79" s="16">
        <f t="shared" ref="T79:U79" si="177">R79/R80-1</f>
        <v>-6.9741396864182459E-3</v>
      </c>
      <c r="U79" s="16">
        <f t="shared" si="177"/>
        <v>-3.3663377415893425E-4</v>
      </c>
      <c r="V79" s="16"/>
      <c r="W79" s="51">
        <v>44601</v>
      </c>
      <c r="X79" s="50">
        <v>1454.1</v>
      </c>
      <c r="Y79" s="50">
        <v>25084.6</v>
      </c>
      <c r="Z79" s="16">
        <f t="shared" ref="Z79:AA79" si="178">X79/X80-1</f>
        <v>1.490141336590467E-2</v>
      </c>
      <c r="AA79" s="16">
        <f t="shared" si="178"/>
        <v>1.1648765756726132E-2</v>
      </c>
      <c r="AB79" s="16"/>
      <c r="AC79" s="51">
        <v>44966</v>
      </c>
      <c r="AD79" s="50">
        <v>1015.8</v>
      </c>
      <c r="AE79" s="50">
        <v>26024.94</v>
      </c>
      <c r="AF79" s="16">
        <f t="shared" ref="AF79:AG79" si="179">AD79/AD80-1</f>
        <v>4.2014729870001322E-3</v>
      </c>
      <c r="AG79" s="16">
        <f t="shared" si="179"/>
        <v>1.2156960205960132E-3</v>
      </c>
      <c r="AH79" s="16"/>
      <c r="AI79" s="51">
        <v>45329</v>
      </c>
      <c r="AJ79" s="50">
        <v>1319.2</v>
      </c>
      <c r="AK79" s="50">
        <v>32048.38</v>
      </c>
      <c r="AL79" s="16">
        <f t="shared" ref="AL79:AM79" si="180">AJ79/AJ80-1</f>
        <v>-2.3068093457251693E-2</v>
      </c>
      <c r="AM79" s="16">
        <f t="shared" si="180"/>
        <v>3.0691398396009983E-3</v>
      </c>
      <c r="AN79" s="16"/>
      <c r="AO79" s="51">
        <v>45694</v>
      </c>
      <c r="AP79" s="50">
        <v>1670.35</v>
      </c>
      <c r="AQ79" s="50">
        <v>35143.08</v>
      </c>
      <c r="AR79" s="16">
        <f t="shared" ref="AR79:AS79" si="181">AP79/AP80-1</f>
        <v>5.7502408477840827E-3</v>
      </c>
      <c r="AS79" s="16">
        <f t="shared" si="181"/>
        <v>-3.8160084132468075E-3</v>
      </c>
    </row>
    <row r="80" spans="1:45" ht="15">
      <c r="A80" s="51">
        <v>44235</v>
      </c>
      <c r="B80" s="48">
        <v>6.0900000000000003E-2</v>
      </c>
      <c r="C80" s="16"/>
      <c r="D80" s="51">
        <v>44600</v>
      </c>
      <c r="E80" s="48">
        <v>6.8400000000000002E-2</v>
      </c>
      <c r="F80" s="16"/>
      <c r="G80" s="51">
        <v>44965</v>
      </c>
      <c r="H80" s="48">
        <v>7.3499999999999996E-2</v>
      </c>
      <c r="I80" s="16"/>
      <c r="J80" s="51">
        <v>45329</v>
      </c>
      <c r="K80" s="48">
        <v>7.0699999999999999E-2</v>
      </c>
      <c r="L80" s="16"/>
      <c r="M80" s="51">
        <v>45694</v>
      </c>
      <c r="N80" s="48">
        <v>6.7199999999999996E-2</v>
      </c>
      <c r="O80" s="16"/>
      <c r="P80" s="16"/>
      <c r="Q80" s="51">
        <v>44235</v>
      </c>
      <c r="R80" s="49">
        <v>982.2</v>
      </c>
      <c r="S80" s="50">
        <v>21447.64</v>
      </c>
      <c r="T80" s="16">
        <f t="shared" ref="T80:U80" si="182">R80/R81-1</f>
        <v>2.3658155289213223E-2</v>
      </c>
      <c r="U80" s="16">
        <f t="shared" si="182"/>
        <v>1.2832990726717952E-2</v>
      </c>
      <c r="V80" s="16"/>
      <c r="W80" s="51">
        <v>44600</v>
      </c>
      <c r="X80" s="50">
        <v>1432.75</v>
      </c>
      <c r="Y80" s="50">
        <v>24795.759999999998</v>
      </c>
      <c r="Z80" s="16">
        <f t="shared" ref="Z80:AA80" si="183">X80/X81-1</f>
        <v>-6.207948949157327E-3</v>
      </c>
      <c r="AA80" s="16">
        <f t="shared" si="183"/>
        <v>3.0870427942368828E-3</v>
      </c>
      <c r="AB80" s="16"/>
      <c r="AC80" s="51">
        <v>44965</v>
      </c>
      <c r="AD80" s="50">
        <v>1011.55</v>
      </c>
      <c r="AE80" s="50">
        <v>25993.34</v>
      </c>
      <c r="AF80" s="16">
        <f t="shared" ref="AF80:AG80" si="184">AD80/AD81-1</f>
        <v>9.2791219755550269E-3</v>
      </c>
      <c r="AG80" s="16">
        <f t="shared" si="184"/>
        <v>8.5809548975077643E-3</v>
      </c>
      <c r="AH80" s="16"/>
      <c r="AI80" s="51">
        <v>45328</v>
      </c>
      <c r="AJ80" s="50">
        <v>1350.35</v>
      </c>
      <c r="AK80" s="50">
        <v>31950.32</v>
      </c>
      <c r="AL80" s="16">
        <f t="shared" ref="AL80:AM80" si="185">AJ80/AJ81-1</f>
        <v>1.3852391320669621E-2</v>
      </c>
      <c r="AM80" s="16">
        <f t="shared" si="185"/>
        <v>-9.1148118949690993E-3</v>
      </c>
      <c r="AN80" s="16"/>
      <c r="AO80" s="51">
        <v>45693</v>
      </c>
      <c r="AP80" s="50">
        <v>1660.8</v>
      </c>
      <c r="AQ80" s="50">
        <v>35277.699999999997</v>
      </c>
      <c r="AR80" s="16">
        <f t="shared" ref="AR80:AS80" si="186">AP80/AP81-1</f>
        <v>7.8336848448334884E-4</v>
      </c>
      <c r="AS80" s="16">
        <f t="shared" si="186"/>
        <v>-1.8091973094628289E-3</v>
      </c>
    </row>
    <row r="81" spans="1:45" ht="15">
      <c r="A81" s="51">
        <v>44232</v>
      </c>
      <c r="B81" s="48">
        <v>6.1600000000000002E-2</v>
      </c>
      <c r="C81" s="16"/>
      <c r="D81" s="51">
        <v>44598</v>
      </c>
      <c r="E81" s="48">
        <v>6.9099999999999995E-2</v>
      </c>
      <c r="F81" s="16"/>
      <c r="G81" s="51">
        <v>44964</v>
      </c>
      <c r="H81" s="48">
        <v>7.3099999999999998E-2</v>
      </c>
      <c r="I81" s="16"/>
      <c r="J81" s="51">
        <v>45328</v>
      </c>
      <c r="K81" s="48">
        <v>7.0900000000000005E-2</v>
      </c>
      <c r="L81" s="16"/>
      <c r="M81" s="51">
        <v>45693</v>
      </c>
      <c r="N81" s="48">
        <v>6.7199999999999996E-2</v>
      </c>
      <c r="O81" s="16"/>
      <c r="P81" s="16"/>
      <c r="Q81" s="51">
        <v>44232</v>
      </c>
      <c r="R81" s="49">
        <v>959.5</v>
      </c>
      <c r="S81" s="50">
        <v>21175.89</v>
      </c>
      <c r="T81" s="16">
        <f t="shared" ref="T81:U81" si="187">R81/R82-1</f>
        <v>-1.0059324219757526E-2</v>
      </c>
      <c r="U81" s="16">
        <f t="shared" si="187"/>
        <v>1.9200096899452124E-3</v>
      </c>
      <c r="V81" s="16"/>
      <c r="W81" s="51">
        <v>44599</v>
      </c>
      <c r="X81" s="50">
        <v>1441.7</v>
      </c>
      <c r="Y81" s="50">
        <v>24719.45</v>
      </c>
      <c r="Z81" s="16">
        <f t="shared" ref="Z81:AA81" si="188">X81/X82-1</f>
        <v>-4.5226998101156601E-3</v>
      </c>
      <c r="AA81" s="16">
        <f t="shared" si="188"/>
        <v>-1.7281051946120951E-2</v>
      </c>
      <c r="AB81" s="16"/>
      <c r="AC81" s="51">
        <v>44964</v>
      </c>
      <c r="AD81" s="50">
        <v>1002.25</v>
      </c>
      <c r="AE81" s="50">
        <v>25772.19</v>
      </c>
      <c r="AF81" s="16">
        <f t="shared" ref="AF81:AG81" si="189">AD81/AD82-1</f>
        <v>-3.1330813606524899E-3</v>
      </c>
      <c r="AG81" s="16">
        <f t="shared" si="189"/>
        <v>-2.4261782621705086E-3</v>
      </c>
      <c r="AH81" s="16"/>
      <c r="AI81" s="51">
        <v>45327</v>
      </c>
      <c r="AJ81" s="50">
        <v>1331.9</v>
      </c>
      <c r="AK81" s="50">
        <v>32244.22</v>
      </c>
      <c r="AL81" s="16">
        <f t="shared" ref="AL81:AM81" si="190">AJ81/AJ82-1</f>
        <v>-5.0423934560938077E-3</v>
      </c>
      <c r="AM81" s="16">
        <f t="shared" si="190"/>
        <v>5.0554251380008353E-5</v>
      </c>
      <c r="AN81" s="16"/>
      <c r="AO81" s="51">
        <v>45692</v>
      </c>
      <c r="AP81" s="50">
        <v>1659.5</v>
      </c>
      <c r="AQ81" s="50">
        <v>35341.64</v>
      </c>
      <c r="AR81" s="16">
        <f t="shared" ref="AR81:AS81" si="191">AP81/AP82-1</f>
        <v>3.0220610456330732E-3</v>
      </c>
      <c r="AS81" s="16">
        <f t="shared" si="191"/>
        <v>1.6187512687377614E-2</v>
      </c>
    </row>
    <row r="82" spans="1:45" ht="15">
      <c r="A82" s="51">
        <v>44231</v>
      </c>
      <c r="B82" s="48">
        <v>6.0999999999999999E-2</v>
      </c>
      <c r="C82" s="16"/>
      <c r="D82" s="51">
        <v>44596</v>
      </c>
      <c r="E82" s="48">
        <v>6.9500000000000006E-2</v>
      </c>
      <c r="F82" s="16"/>
      <c r="G82" s="51">
        <v>44963</v>
      </c>
      <c r="H82" s="48">
        <v>7.3200000000000001E-2</v>
      </c>
      <c r="I82" s="16"/>
      <c r="J82" s="51">
        <v>45327</v>
      </c>
      <c r="K82" s="48">
        <v>7.0699999999999999E-2</v>
      </c>
      <c r="L82" s="16"/>
      <c r="M82" s="51">
        <v>45692</v>
      </c>
      <c r="N82" s="48">
        <v>6.7299999999999999E-2</v>
      </c>
      <c r="O82" s="16"/>
      <c r="P82" s="16"/>
      <c r="Q82" s="51">
        <v>44231</v>
      </c>
      <c r="R82" s="49">
        <v>969.25</v>
      </c>
      <c r="S82" s="50">
        <v>21135.31</v>
      </c>
      <c r="T82" s="16">
        <f t="shared" ref="T82:U82" si="192">R82/R83-1</f>
        <v>-1.2782644123039311E-2</v>
      </c>
      <c r="U82" s="16">
        <f t="shared" si="192"/>
        <v>7.1473773094716808E-3</v>
      </c>
      <c r="V82" s="16"/>
      <c r="W82" s="51">
        <v>44596</v>
      </c>
      <c r="X82" s="50">
        <v>1448.25</v>
      </c>
      <c r="Y82" s="50">
        <v>25154.14</v>
      </c>
      <c r="Z82" s="16">
        <f t="shared" ref="Z82:AA82" si="193">X82/X83-1</f>
        <v>-4.6733789216865107E-3</v>
      </c>
      <c r="AA82" s="16">
        <f t="shared" si="193"/>
        <v>-2.5006741430452228E-3</v>
      </c>
      <c r="AB82" s="16"/>
      <c r="AC82" s="51">
        <v>44963</v>
      </c>
      <c r="AD82" s="50">
        <v>1005.4</v>
      </c>
      <c r="AE82" s="50">
        <v>25834.87</v>
      </c>
      <c r="AF82" s="16">
        <f t="shared" ref="AF82:AG82" si="194">AD82/AD83-1</f>
        <v>-6.570821599723331E-3</v>
      </c>
      <c r="AG82" s="16">
        <f t="shared" si="194"/>
        <v>-5.0117465819372597E-3</v>
      </c>
      <c r="AH82" s="16"/>
      <c r="AI82" s="51">
        <v>45324</v>
      </c>
      <c r="AJ82" s="50">
        <v>1338.65</v>
      </c>
      <c r="AK82" s="50">
        <v>32242.59</v>
      </c>
      <c r="AL82" s="16">
        <f t="shared" ref="AL82:AM82" si="195">AJ82/AJ83-1</f>
        <v>2.0351385342429307E-2</v>
      </c>
      <c r="AM82" s="16">
        <f t="shared" si="195"/>
        <v>7.3549122415657031E-3</v>
      </c>
      <c r="AN82" s="16"/>
      <c r="AO82" s="51">
        <v>45691</v>
      </c>
      <c r="AP82" s="50">
        <v>1654.5</v>
      </c>
      <c r="AQ82" s="50">
        <v>34778.660000000003</v>
      </c>
      <c r="AR82" s="16">
        <f t="shared" ref="AR82:AS82" si="196">AP82/AP83-1</f>
        <v>-1.1914359939084518E-2</v>
      </c>
      <c r="AS82" s="16">
        <f t="shared" si="196"/>
        <v>-5.1554840557007653E-3</v>
      </c>
    </row>
    <row r="83" spans="1:45" ht="15">
      <c r="A83" s="51">
        <v>44230</v>
      </c>
      <c r="B83" s="48">
        <v>6.0999999999999999E-2</v>
      </c>
      <c r="C83" s="16"/>
      <c r="D83" s="51">
        <v>44595</v>
      </c>
      <c r="E83" s="48">
        <v>6.9199999999999998E-2</v>
      </c>
      <c r="F83" s="16"/>
      <c r="G83" s="51">
        <v>44960</v>
      </c>
      <c r="H83" s="48">
        <v>7.2900000000000006E-2</v>
      </c>
      <c r="I83" s="16"/>
      <c r="J83" s="51">
        <v>45324</v>
      </c>
      <c r="K83" s="48">
        <v>7.0400000000000004E-2</v>
      </c>
      <c r="L83" s="16"/>
      <c r="M83" s="51">
        <v>45691</v>
      </c>
      <c r="N83" s="48">
        <v>6.7299999999999999E-2</v>
      </c>
      <c r="O83" s="16"/>
      <c r="P83" s="16"/>
      <c r="Q83" s="51">
        <v>44230</v>
      </c>
      <c r="R83" s="49">
        <v>981.8</v>
      </c>
      <c r="S83" s="50">
        <v>20985.32</v>
      </c>
      <c r="T83" s="16">
        <f t="shared" ref="T83:U83" si="197">R83/R84-1</f>
        <v>2.4415692821369017E-2</v>
      </c>
      <c r="U83" s="16">
        <f t="shared" si="197"/>
        <v>9.7013571699733347E-3</v>
      </c>
      <c r="V83" s="16"/>
      <c r="W83" s="51">
        <v>44595</v>
      </c>
      <c r="X83" s="50">
        <v>1455.05</v>
      </c>
      <c r="Y83" s="50">
        <v>25217.200000000001</v>
      </c>
      <c r="Z83" s="16">
        <f t="shared" ref="Z83:AA83" si="198">X83/X84-1</f>
        <v>-1.8681503962232338E-2</v>
      </c>
      <c r="AA83" s="16">
        <f t="shared" si="198"/>
        <v>-1.2118754786682784E-2</v>
      </c>
      <c r="AB83" s="16"/>
      <c r="AC83" s="51">
        <v>44960</v>
      </c>
      <c r="AD83" s="50">
        <v>1012.05</v>
      </c>
      <c r="AE83" s="50">
        <v>25965</v>
      </c>
      <c r="AF83" s="16">
        <f t="shared" ref="AF83:AG83" si="199">AD83/AD84-1</f>
        <v>-4.0838417634324609E-3</v>
      </c>
      <c r="AG83" s="16">
        <f t="shared" si="199"/>
        <v>1.3836040865811583E-2</v>
      </c>
      <c r="AH83" s="16"/>
      <c r="AI83" s="51">
        <v>45323</v>
      </c>
      <c r="AJ83" s="50">
        <v>1311.95</v>
      </c>
      <c r="AK83" s="50">
        <v>32007.18</v>
      </c>
      <c r="AL83" s="16">
        <f t="shared" ref="AL83:AM83" si="200">AJ83/AJ84-1</f>
        <v>-1.6123589185946252E-2</v>
      </c>
      <c r="AM83" s="16">
        <f t="shared" si="200"/>
        <v>-3.757481814871233E-3</v>
      </c>
      <c r="AN83" s="16"/>
      <c r="AO83" s="47">
        <v>45688</v>
      </c>
      <c r="AP83" s="50">
        <v>1674.45</v>
      </c>
      <c r="AQ83" s="50">
        <v>34958.89</v>
      </c>
      <c r="AR83" s="16">
        <f t="shared" ref="AR83:AS83" si="201">AP83/AP84-1</f>
        <v>2.6346516571360556E-3</v>
      </c>
      <c r="AS83" s="16">
        <f t="shared" si="201"/>
        <v>-1.1177778393686166E-3</v>
      </c>
    </row>
    <row r="84" spans="1:45" ht="15">
      <c r="A84" s="51">
        <v>44229</v>
      </c>
      <c r="B84" s="48">
        <v>6.1600000000000002E-2</v>
      </c>
      <c r="C84" s="16"/>
      <c r="D84" s="51">
        <v>44594</v>
      </c>
      <c r="E84" s="48">
        <v>6.9099999999999995E-2</v>
      </c>
      <c r="F84" s="16"/>
      <c r="G84" s="51">
        <v>44959</v>
      </c>
      <c r="H84" s="48">
        <v>7.2999999999999995E-2</v>
      </c>
      <c r="I84" s="16"/>
      <c r="J84" s="51">
        <v>45323</v>
      </c>
      <c r="K84" s="48">
        <v>7.0699999999999999E-2</v>
      </c>
      <c r="L84" s="16"/>
      <c r="M84" s="47">
        <v>45688</v>
      </c>
      <c r="N84" s="48">
        <v>6.7400000000000002E-2</v>
      </c>
      <c r="O84" s="16"/>
      <c r="P84" s="16"/>
      <c r="Q84" s="51">
        <v>44229</v>
      </c>
      <c r="R84" s="49">
        <v>958.4</v>
      </c>
      <c r="S84" s="50">
        <v>20783.689999999999</v>
      </c>
      <c r="T84" s="16">
        <f t="shared" ref="T84:U84" si="202">R84/R85-1</f>
        <v>1.7896022516064036E-2</v>
      </c>
      <c r="U84" s="16">
        <f t="shared" si="202"/>
        <v>2.5674317884821107E-2</v>
      </c>
      <c r="V84" s="16"/>
      <c r="W84" s="51">
        <v>44594</v>
      </c>
      <c r="X84" s="50">
        <v>1482.75</v>
      </c>
      <c r="Y84" s="50">
        <v>25526.55</v>
      </c>
      <c r="Z84" s="16">
        <f t="shared" ref="Z84:AA84" si="203">X84/X85-1</f>
        <v>-1.6124216183935447E-2</v>
      </c>
      <c r="AA84" s="16">
        <f t="shared" si="203"/>
        <v>1.1557807464189551E-2</v>
      </c>
      <c r="AB84" s="16"/>
      <c r="AC84" s="51">
        <v>44959</v>
      </c>
      <c r="AD84" s="50">
        <v>1016.2</v>
      </c>
      <c r="AE84" s="50">
        <v>25610.65</v>
      </c>
      <c r="AF84" s="16">
        <f t="shared" ref="AF84:AG84" si="204">AD84/AD85-1</f>
        <v>-7.8594093238955054E-3</v>
      </c>
      <c r="AG84" s="16">
        <f t="shared" si="204"/>
        <v>-3.3529487994177209E-4</v>
      </c>
      <c r="AH84" s="16"/>
      <c r="AI84" s="47">
        <v>45322</v>
      </c>
      <c r="AJ84" s="50">
        <v>1333.45</v>
      </c>
      <c r="AK84" s="50">
        <v>32127.9</v>
      </c>
      <c r="AL84" s="16">
        <f t="shared" ref="AL84:AM84" si="205">AJ84/AJ85-1</f>
        <v>1.1952644759808839E-2</v>
      </c>
      <c r="AM84" s="16">
        <f t="shared" si="205"/>
        <v>7.2054538739974028E-3</v>
      </c>
      <c r="AN84" s="16"/>
      <c r="AO84" s="47">
        <v>45687</v>
      </c>
      <c r="AP84" s="50">
        <v>1670.05</v>
      </c>
      <c r="AQ84" s="50">
        <v>34998.01</v>
      </c>
      <c r="AR84" s="16">
        <f t="shared" ref="AR84:AS84" si="206">AP84/AP85-1</f>
        <v>-5.9817867984047757E-3</v>
      </c>
      <c r="AS84" s="16">
        <f t="shared" si="206"/>
        <v>1.1403792690891645E-2</v>
      </c>
    </row>
    <row r="85" spans="1:45" ht="15">
      <c r="A85" s="51">
        <v>44228</v>
      </c>
      <c r="B85" s="48">
        <v>6.08E-2</v>
      </c>
      <c r="C85" s="16"/>
      <c r="D85" s="51">
        <v>44593</v>
      </c>
      <c r="E85" s="48">
        <v>6.8500000000000005E-2</v>
      </c>
      <c r="F85" s="16"/>
      <c r="G85" s="51">
        <v>44958</v>
      </c>
      <c r="H85" s="48">
        <v>7.2800000000000004E-2</v>
      </c>
      <c r="I85" s="16"/>
      <c r="J85" s="47">
        <v>45322</v>
      </c>
      <c r="K85" s="48">
        <v>7.1499999999999994E-2</v>
      </c>
      <c r="L85" s="16"/>
      <c r="M85" s="47">
        <v>45687</v>
      </c>
      <c r="N85" s="48">
        <v>6.7299999999999999E-2</v>
      </c>
      <c r="O85" s="16"/>
      <c r="P85" s="16"/>
      <c r="Q85" s="52">
        <v>44228</v>
      </c>
      <c r="R85" s="49">
        <v>941.55</v>
      </c>
      <c r="S85" s="50">
        <v>20263.439999999999</v>
      </c>
      <c r="T85" s="16">
        <f t="shared" ref="T85:U85" si="207">R85/R86-1</f>
        <v>-2.0901575417251572E-2</v>
      </c>
      <c r="U85" s="16">
        <f t="shared" si="207"/>
        <v>4.742109879908174E-2</v>
      </c>
      <c r="V85" s="16"/>
      <c r="W85" s="51">
        <v>44593</v>
      </c>
      <c r="X85" s="50">
        <v>1507.05</v>
      </c>
      <c r="Y85" s="50">
        <v>25234.89</v>
      </c>
      <c r="Z85" s="16">
        <f t="shared" ref="Z85:AA85" si="208">X85/X86-1</f>
        <v>1.8724439787744629E-2</v>
      </c>
      <c r="AA85" s="16">
        <f t="shared" si="208"/>
        <v>1.3668415103343712E-2</v>
      </c>
      <c r="AB85" s="16"/>
      <c r="AC85" s="51">
        <v>44958</v>
      </c>
      <c r="AD85" s="50">
        <v>1024.25</v>
      </c>
      <c r="AE85" s="50">
        <v>25619.24</v>
      </c>
      <c r="AF85" s="16">
        <f t="shared" ref="AF85:AG85" si="209">AD85/AD86-1</f>
        <v>8.8151285334383545E-3</v>
      </c>
      <c r="AG85" s="16">
        <f t="shared" si="209"/>
        <v>-2.5967513744872273E-3</v>
      </c>
      <c r="AH85" s="16"/>
      <c r="AI85" s="47">
        <v>45321</v>
      </c>
      <c r="AJ85" s="50">
        <v>1317.7</v>
      </c>
      <c r="AK85" s="50">
        <v>31898.06</v>
      </c>
      <c r="AL85" s="16">
        <f t="shared" ref="AL85:AM85" si="210">AJ85/AJ86-1</f>
        <v>2.3581317511029987E-3</v>
      </c>
      <c r="AM85" s="16">
        <f t="shared" si="210"/>
        <v>-1.3002671605990557E-3</v>
      </c>
      <c r="AN85" s="16"/>
      <c r="AO85" s="47">
        <v>45686</v>
      </c>
      <c r="AP85" s="50">
        <v>1680.1</v>
      </c>
      <c r="AQ85" s="50">
        <v>34603.4</v>
      </c>
      <c r="AR85" s="16">
        <f t="shared" ref="AR85:AS85" si="211">AP85/AP86-1</f>
        <v>2.1027043451838257E-2</v>
      </c>
      <c r="AS85" s="16">
        <f t="shared" si="211"/>
        <v>3.7302609442257939E-3</v>
      </c>
    </row>
    <row r="86" spans="1:45" ht="15">
      <c r="A86" s="47">
        <v>44225</v>
      </c>
      <c r="B86" s="48">
        <v>5.9499999999999997E-2</v>
      </c>
      <c r="C86" s="16"/>
      <c r="D86" s="47">
        <v>44592</v>
      </c>
      <c r="E86" s="48">
        <v>6.6799999999999998E-2</v>
      </c>
      <c r="F86" s="16"/>
      <c r="G86" s="47">
        <v>44957</v>
      </c>
      <c r="H86" s="48">
        <v>7.3499999999999996E-2</v>
      </c>
      <c r="I86" s="16"/>
      <c r="J86" s="47">
        <v>45321</v>
      </c>
      <c r="K86" s="48">
        <v>7.1599999999999997E-2</v>
      </c>
      <c r="L86" s="16"/>
      <c r="M86" s="47">
        <v>45686</v>
      </c>
      <c r="N86" s="48">
        <v>6.7500000000000004E-2</v>
      </c>
      <c r="O86" s="16"/>
      <c r="P86" s="16"/>
      <c r="Q86" s="47">
        <v>44225</v>
      </c>
      <c r="R86" s="49">
        <v>961.65</v>
      </c>
      <c r="S86" s="50">
        <v>19346.03</v>
      </c>
      <c r="T86" s="16">
        <f t="shared" ref="T86:U86" si="212">R86/R87-1</f>
        <v>-2.1271182128135946E-2</v>
      </c>
      <c r="U86" s="16">
        <f t="shared" si="212"/>
        <v>-1.3239081302832578E-2</v>
      </c>
      <c r="V86" s="16"/>
      <c r="W86" s="47">
        <v>44592</v>
      </c>
      <c r="X86" s="50">
        <v>1479.35</v>
      </c>
      <c r="Y86" s="50">
        <v>24894.62</v>
      </c>
      <c r="Z86" s="16">
        <f t="shared" ref="Z86:AA86" si="213">X86/X87-1</f>
        <v>4.877530041473177E-2</v>
      </c>
      <c r="AA86" s="16">
        <f t="shared" si="213"/>
        <v>1.3911922922782649E-2</v>
      </c>
      <c r="AB86" s="16"/>
      <c r="AC86" s="47">
        <v>44957</v>
      </c>
      <c r="AD86" s="50">
        <v>1015.3</v>
      </c>
      <c r="AE86" s="50">
        <v>25685.94</v>
      </c>
      <c r="AF86" s="16">
        <f t="shared" ref="AF86:AG86" si="214">AD86/AD87-1</f>
        <v>-2.0122569126091894E-2</v>
      </c>
      <c r="AG86" s="16">
        <f t="shared" si="214"/>
        <v>7.4999931818253707E-4</v>
      </c>
      <c r="AH86" s="16"/>
      <c r="AI86" s="47">
        <v>45320</v>
      </c>
      <c r="AJ86" s="50">
        <v>1314.6</v>
      </c>
      <c r="AK86" s="50">
        <v>31939.59</v>
      </c>
      <c r="AL86" s="16">
        <f t="shared" ref="AL86:AM86" si="215">AJ86/AJ87-1</f>
        <v>-5.2966101694915668E-3</v>
      </c>
      <c r="AM86" s="16">
        <f t="shared" si="215"/>
        <v>9.4610533927681484E-3</v>
      </c>
      <c r="AN86" s="16"/>
      <c r="AO86" s="47">
        <v>45685</v>
      </c>
      <c r="AP86" s="50">
        <v>1645.5</v>
      </c>
      <c r="AQ86" s="50">
        <v>34474.800000000003</v>
      </c>
      <c r="AR86" s="16">
        <f t="shared" ref="AR86:AS86" si="216">AP86/AP87-1</f>
        <v>-4.5974230234104851E-3</v>
      </c>
      <c r="AS86" s="16">
        <f t="shared" si="216"/>
        <v>9.061261715862079E-3</v>
      </c>
    </row>
    <row r="87" spans="1:45" ht="15">
      <c r="A87" s="47">
        <v>44224</v>
      </c>
      <c r="B87" s="48">
        <v>5.9400000000000001E-2</v>
      </c>
      <c r="C87" s="16"/>
      <c r="D87" s="47">
        <v>44589</v>
      </c>
      <c r="E87" s="48">
        <v>6.7599999999999993E-2</v>
      </c>
      <c r="F87" s="16"/>
      <c r="G87" s="47">
        <v>44956</v>
      </c>
      <c r="H87" s="48">
        <v>7.3999999999999996E-2</v>
      </c>
      <c r="I87" s="16"/>
      <c r="J87" s="47">
        <v>45320</v>
      </c>
      <c r="K87" s="48">
        <v>7.17E-2</v>
      </c>
      <c r="L87" s="16"/>
      <c r="M87" s="47">
        <v>45685</v>
      </c>
      <c r="N87" s="48">
        <v>6.7199999999999996E-2</v>
      </c>
      <c r="O87" s="16"/>
      <c r="P87" s="16"/>
      <c r="Q87" s="47">
        <v>44224</v>
      </c>
      <c r="R87" s="49">
        <v>982.55</v>
      </c>
      <c r="S87" s="50">
        <v>19605.59</v>
      </c>
      <c r="T87" s="16">
        <f t="shared" ref="T87:U87" si="217">R87/R88-1</f>
        <v>-1.4641728927443198E-2</v>
      </c>
      <c r="U87" s="16">
        <f t="shared" si="217"/>
        <v>-1.0735006060043406E-2</v>
      </c>
      <c r="V87" s="16"/>
      <c r="W87" s="47">
        <v>44589</v>
      </c>
      <c r="X87" s="50">
        <v>1410.55</v>
      </c>
      <c r="Y87" s="50">
        <v>24553.040000000001</v>
      </c>
      <c r="Z87" s="16">
        <f t="shared" ref="Z87:AA87" si="218">X87/X88-1</f>
        <v>-2.427973575900122E-2</v>
      </c>
      <c r="AA87" s="16">
        <f t="shared" si="218"/>
        <v>-4.7914068946597332E-4</v>
      </c>
      <c r="AB87" s="16"/>
      <c r="AC87" s="47">
        <v>44956</v>
      </c>
      <c r="AD87" s="50">
        <v>1036.1500000000001</v>
      </c>
      <c r="AE87" s="50">
        <v>25666.69</v>
      </c>
      <c r="AF87" s="16">
        <f t="shared" ref="AF87:AG87" si="219">AD87/AD88-1</f>
        <v>5.8243945056544177E-3</v>
      </c>
      <c r="AG87" s="16">
        <f t="shared" si="219"/>
        <v>2.531454721293791E-3</v>
      </c>
      <c r="AH87" s="16"/>
      <c r="AI87" s="47">
        <v>45316</v>
      </c>
      <c r="AJ87" s="50">
        <v>1321.6</v>
      </c>
      <c r="AK87" s="50">
        <v>31640.240000000002</v>
      </c>
      <c r="AL87" s="16">
        <f t="shared" ref="AL87:AM87" si="220">AJ87/AJ88-1</f>
        <v>-6.1196945480376574E-2</v>
      </c>
      <c r="AM87" s="16">
        <f t="shared" si="220"/>
        <v>-9.9136184347428102E-3</v>
      </c>
      <c r="AN87" s="16"/>
      <c r="AO87" s="47">
        <v>45684</v>
      </c>
      <c r="AP87" s="50">
        <v>1653.1</v>
      </c>
      <c r="AQ87" s="50">
        <v>34165.22</v>
      </c>
      <c r="AR87" s="16">
        <f t="shared" ref="AR87:AS87" si="221">AP87/AP88-1</f>
        <v>-4.0150965307011233E-2</v>
      </c>
      <c r="AS87" s="16">
        <f t="shared" si="221"/>
        <v>5.6112540611246153E-3</v>
      </c>
    </row>
    <row r="88" spans="1:45" ht="15">
      <c r="A88" s="47">
        <v>44223</v>
      </c>
      <c r="B88" s="48">
        <v>5.96E-2</v>
      </c>
      <c r="C88" s="16"/>
      <c r="D88" s="47">
        <v>44588</v>
      </c>
      <c r="E88" s="48">
        <v>6.7500000000000004E-2</v>
      </c>
      <c r="F88" s="16"/>
      <c r="G88" s="47">
        <v>44953</v>
      </c>
      <c r="H88" s="48">
        <v>7.3899999999999993E-2</v>
      </c>
      <c r="I88" s="16"/>
      <c r="J88" s="47">
        <v>45316</v>
      </c>
      <c r="K88" s="48">
        <v>7.1900000000000006E-2</v>
      </c>
      <c r="L88" s="16"/>
      <c r="M88" s="47">
        <v>45684</v>
      </c>
      <c r="N88" s="48">
        <v>6.7199999999999996E-2</v>
      </c>
      <c r="O88" s="16"/>
      <c r="P88" s="16"/>
      <c r="Q88" s="47">
        <v>44223</v>
      </c>
      <c r="R88" s="49">
        <v>997.15</v>
      </c>
      <c r="S88" s="50">
        <v>19818.34</v>
      </c>
      <c r="T88" s="16">
        <f t="shared" ref="T88:U88" si="222">R88/R89-1</f>
        <v>2.5874485596707686E-2</v>
      </c>
      <c r="U88" s="16">
        <f t="shared" si="222"/>
        <v>-1.8986332968681241E-2</v>
      </c>
      <c r="V88" s="16"/>
      <c r="W88" s="47">
        <v>44588</v>
      </c>
      <c r="X88" s="50">
        <v>1445.65</v>
      </c>
      <c r="Y88" s="50">
        <v>24564.81</v>
      </c>
      <c r="Z88" s="16">
        <f t="shared" ref="Z88:AA88" si="223">X88/X89-1</f>
        <v>-3.655448183938681E-2</v>
      </c>
      <c r="AA88" s="16">
        <f t="shared" si="223"/>
        <v>-9.7130705582374466E-3</v>
      </c>
      <c r="AB88" s="16"/>
      <c r="AC88" s="47">
        <v>44953</v>
      </c>
      <c r="AD88" s="50">
        <v>1030.1500000000001</v>
      </c>
      <c r="AE88" s="50">
        <v>25601.88</v>
      </c>
      <c r="AF88" s="16">
        <f t="shared" ref="AF88:AG88" si="224">AD88/AD89-1</f>
        <v>-1.9698339439501167E-2</v>
      </c>
      <c r="AG88" s="16">
        <f t="shared" si="224"/>
        <v>-1.6074093403837697E-2</v>
      </c>
      <c r="AH88" s="16"/>
      <c r="AI88" s="47">
        <v>45315</v>
      </c>
      <c r="AJ88" s="50">
        <v>1407.75</v>
      </c>
      <c r="AK88" s="50">
        <v>31957.05</v>
      </c>
      <c r="AL88" s="16">
        <f t="shared" ref="AL88:AM88" si="225">AJ88/AJ89-1</f>
        <v>3.0865553602811957E-2</v>
      </c>
      <c r="AM88" s="16">
        <f t="shared" si="225"/>
        <v>1.802996839547033E-2</v>
      </c>
      <c r="AN88" s="16"/>
      <c r="AO88" s="47">
        <v>45681</v>
      </c>
      <c r="AP88" s="50">
        <v>1722.25</v>
      </c>
      <c r="AQ88" s="50">
        <v>33974.58</v>
      </c>
      <c r="AR88" s="16">
        <f t="shared" ref="AR88:AS88" si="226">AP88/AP89-1</f>
        <v>5.4585790180394778E-3</v>
      </c>
      <c r="AS88" s="16">
        <f t="shared" si="226"/>
        <v>-1.1390896361640701E-2</v>
      </c>
    </row>
    <row r="89" spans="1:45" ht="15">
      <c r="A89" s="47">
        <v>44221</v>
      </c>
      <c r="B89" s="48">
        <v>5.96E-2</v>
      </c>
      <c r="C89" s="16"/>
      <c r="D89" s="47">
        <v>44586</v>
      </c>
      <c r="E89" s="48">
        <v>6.6600000000000006E-2</v>
      </c>
      <c r="F89" s="16"/>
      <c r="G89" s="47">
        <v>44951</v>
      </c>
      <c r="H89" s="48">
        <v>7.3499999999999996E-2</v>
      </c>
      <c r="I89" s="16"/>
      <c r="J89" s="47">
        <v>45315</v>
      </c>
      <c r="K89" s="48">
        <v>7.1800000000000003E-2</v>
      </c>
      <c r="L89" s="16"/>
      <c r="M89" s="47">
        <v>45681</v>
      </c>
      <c r="N89" s="48">
        <v>6.7599999999999993E-2</v>
      </c>
      <c r="O89" s="16"/>
      <c r="P89" s="16"/>
      <c r="Q89" s="47">
        <v>44221</v>
      </c>
      <c r="R89" s="49">
        <v>972</v>
      </c>
      <c r="S89" s="50">
        <v>20201.900000000001</v>
      </c>
      <c r="T89" s="16">
        <f t="shared" ref="T89:U89" si="227">R89/R90-1</f>
        <v>-8.4162203519509982E-3</v>
      </c>
      <c r="U89" s="16">
        <f t="shared" si="227"/>
        <v>-9.2528065669570392E-3</v>
      </c>
      <c r="V89" s="16"/>
      <c r="W89" s="47">
        <v>44586</v>
      </c>
      <c r="X89" s="50">
        <v>1500.5</v>
      </c>
      <c r="Y89" s="50">
        <v>24805.75</v>
      </c>
      <c r="Z89" s="16">
        <f t="shared" ref="Z89:AA89" si="228">X89/X90-1</f>
        <v>-7.7042621433059955E-3</v>
      </c>
      <c r="AA89" s="16">
        <f t="shared" si="228"/>
        <v>7.5152148271862007E-3</v>
      </c>
      <c r="AB89" s="16"/>
      <c r="AC89" s="47">
        <v>44951</v>
      </c>
      <c r="AD89" s="50">
        <v>1050.8499999999999</v>
      </c>
      <c r="AE89" s="50">
        <v>26020.13</v>
      </c>
      <c r="AF89" s="16">
        <f t="shared" ref="AF89:AG89" si="229">AD89/AD90-1</f>
        <v>-1.8722569801102096E-2</v>
      </c>
      <c r="AG89" s="16">
        <f t="shared" si="229"/>
        <v>-1.2491802432552102E-2</v>
      </c>
      <c r="AH89" s="16"/>
      <c r="AI89" s="47">
        <v>45314</v>
      </c>
      <c r="AJ89" s="50">
        <v>1365.6</v>
      </c>
      <c r="AK89" s="50">
        <v>31391.07</v>
      </c>
      <c r="AL89" s="16">
        <f t="shared" ref="AL89:AM89" si="230">AJ89/AJ90-1</f>
        <v>-1.7341872346549714E-2</v>
      </c>
      <c r="AM89" s="16">
        <f t="shared" si="230"/>
        <v>-4.7241493122874845E-3</v>
      </c>
      <c r="AN89" s="16"/>
      <c r="AO89" s="47">
        <v>45680</v>
      </c>
      <c r="AP89" s="50">
        <v>1712.9</v>
      </c>
      <c r="AQ89" s="50">
        <v>34366.04</v>
      </c>
      <c r="AR89" s="16">
        <f t="shared" ref="AR89:AS89" si="231">AP89/AP90-1</f>
        <v>1.7463617463617576E-2</v>
      </c>
      <c r="AS89" s="16">
        <f t="shared" si="231"/>
        <v>-4.8768679168574858E-3</v>
      </c>
    </row>
    <row r="90" spans="1:45" ht="15">
      <c r="A90" s="47">
        <v>44218</v>
      </c>
      <c r="B90" s="48">
        <v>5.9700000000000003E-2</v>
      </c>
      <c r="C90" s="16"/>
      <c r="D90" s="47">
        <v>44585</v>
      </c>
      <c r="E90" s="48">
        <v>6.6600000000000006E-2</v>
      </c>
      <c r="F90" s="16"/>
      <c r="G90" s="47">
        <v>44950</v>
      </c>
      <c r="H90" s="48">
        <v>7.3499999999999996E-2</v>
      </c>
      <c r="I90" s="16"/>
      <c r="J90" s="47">
        <v>45314</v>
      </c>
      <c r="K90" s="48">
        <v>7.17E-2</v>
      </c>
      <c r="L90" s="16"/>
      <c r="M90" s="47">
        <v>45680</v>
      </c>
      <c r="N90" s="48">
        <v>6.7699999999999996E-2</v>
      </c>
      <c r="O90" s="16"/>
      <c r="P90" s="16"/>
      <c r="Q90" s="47">
        <v>44218</v>
      </c>
      <c r="R90" s="49">
        <v>980.25</v>
      </c>
      <c r="S90" s="50">
        <v>20390.57</v>
      </c>
      <c r="T90" s="16">
        <f t="shared" ref="T90:U90" si="232">R90/R91-1</f>
        <v>-2.3412204234122047E-2</v>
      </c>
      <c r="U90" s="16">
        <f t="shared" si="232"/>
        <v>-1.4949260918588503E-2</v>
      </c>
      <c r="V90" s="16"/>
      <c r="W90" s="47">
        <v>44585</v>
      </c>
      <c r="X90" s="50">
        <v>1512.15</v>
      </c>
      <c r="Y90" s="50">
        <v>24620.720000000001</v>
      </c>
      <c r="Z90" s="16">
        <f t="shared" ref="Z90:AA90" si="233">X90/X91-1</f>
        <v>-5.1438070445064765E-2</v>
      </c>
      <c r="AA90" s="16">
        <f t="shared" si="233"/>
        <v>-2.6568909947210062E-2</v>
      </c>
      <c r="AB90" s="16"/>
      <c r="AC90" s="47">
        <v>44950</v>
      </c>
      <c r="AD90" s="50">
        <v>1070.9000000000001</v>
      </c>
      <c r="AE90" s="50">
        <v>26349.279999999999</v>
      </c>
      <c r="AF90" s="16">
        <f t="shared" ref="AF90:AG90" si="234">AD90/AD91-1</f>
        <v>5.4454980752982607E-3</v>
      </c>
      <c r="AG90" s="16">
        <f t="shared" si="234"/>
        <v>5.313266391304694E-6</v>
      </c>
      <c r="AH90" s="16"/>
      <c r="AI90" s="47">
        <v>45310</v>
      </c>
      <c r="AJ90" s="50">
        <v>1389.7</v>
      </c>
      <c r="AK90" s="50">
        <v>31540.07</v>
      </c>
      <c r="AL90" s="16">
        <f t="shared" ref="AL90:AM90" si="235">AJ90/AJ91-1</f>
        <v>2.5419664268585107E-2</v>
      </c>
      <c r="AM90" s="16">
        <f t="shared" si="235"/>
        <v>1.014530815128456E-2</v>
      </c>
      <c r="AN90" s="16"/>
      <c r="AO90" s="47">
        <v>45679</v>
      </c>
      <c r="AP90" s="50">
        <v>1683.5</v>
      </c>
      <c r="AQ90" s="50">
        <v>34534.46</v>
      </c>
      <c r="AR90" s="16">
        <f t="shared" ref="AR90:AS90" si="236">AP90/AP91-1</f>
        <v>2.636793171772589E-2</v>
      </c>
      <c r="AS90" s="16">
        <f t="shared" si="236"/>
        <v>2.1598936507019051E-3</v>
      </c>
    </row>
    <row r="91" spans="1:45" ht="15">
      <c r="A91" s="47">
        <v>44217</v>
      </c>
      <c r="B91" s="48">
        <v>5.96E-2</v>
      </c>
      <c r="C91" s="16"/>
      <c r="D91" s="47">
        <v>44582</v>
      </c>
      <c r="E91" s="48">
        <v>6.6299999999999998E-2</v>
      </c>
      <c r="F91" s="16"/>
      <c r="G91" s="47">
        <v>44949</v>
      </c>
      <c r="H91" s="48">
        <v>7.3499999999999996E-2</v>
      </c>
      <c r="I91" s="16"/>
      <c r="J91" s="47">
        <v>45312</v>
      </c>
      <c r="K91" s="48">
        <v>7.1800000000000003E-2</v>
      </c>
      <c r="L91" s="16"/>
      <c r="M91" s="47">
        <v>45679</v>
      </c>
      <c r="N91" s="48">
        <v>6.7599999999999993E-2</v>
      </c>
      <c r="O91" s="16"/>
      <c r="P91" s="16"/>
      <c r="Q91" s="47">
        <v>44217</v>
      </c>
      <c r="R91" s="50">
        <v>1003.75</v>
      </c>
      <c r="S91" s="50">
        <v>20700.02</v>
      </c>
      <c r="T91" s="16">
        <f t="shared" ref="T91:U91" si="237">R91/R92-1</f>
        <v>-1.5158948194662569E-2</v>
      </c>
      <c r="U91" s="16">
        <f t="shared" si="237"/>
        <v>-3.6412784762175354E-3</v>
      </c>
      <c r="V91" s="16"/>
      <c r="W91" s="47">
        <v>44582</v>
      </c>
      <c r="X91" s="50">
        <v>1594.15</v>
      </c>
      <c r="Y91" s="50">
        <v>25292.720000000001</v>
      </c>
      <c r="Z91" s="16">
        <f t="shared" ref="Z91:AA91" si="238">X91/X92-1</f>
        <v>-4.4360519137967236E-2</v>
      </c>
      <c r="AA91" s="16">
        <f t="shared" si="238"/>
        <v>-7.8558850884106191E-3</v>
      </c>
      <c r="AB91" s="16"/>
      <c r="AC91" s="47">
        <v>44949</v>
      </c>
      <c r="AD91" s="50">
        <v>1065.0999999999999</v>
      </c>
      <c r="AE91" s="50">
        <v>26349.14</v>
      </c>
      <c r="AF91" s="16">
        <f t="shared" ref="AF91:AG91" si="239">AD91/AD92-1</f>
        <v>1.6510784500858966E-2</v>
      </c>
      <c r="AG91" s="16">
        <f t="shared" si="239"/>
        <v>5.0425411966461553E-3</v>
      </c>
      <c r="AH91" s="16"/>
      <c r="AI91" s="47">
        <v>45309</v>
      </c>
      <c r="AJ91" s="50">
        <v>1355.25</v>
      </c>
      <c r="AK91" s="50">
        <v>31223.3</v>
      </c>
      <c r="AL91" s="16">
        <f t="shared" ref="AL91:AM91" si="240">AJ91/AJ92-1</f>
        <v>2.1519559810055044E-2</v>
      </c>
      <c r="AM91" s="16">
        <f t="shared" si="240"/>
        <v>-1.5437270558379179E-2</v>
      </c>
      <c r="AN91" s="16"/>
      <c r="AO91" s="47">
        <v>45678</v>
      </c>
      <c r="AP91" s="50">
        <v>1640.25</v>
      </c>
      <c r="AQ91" s="50">
        <v>34460.03</v>
      </c>
      <c r="AR91" s="16">
        <f t="shared" ref="AR91:AS91" si="241">AP91/AP92-1</f>
        <v>-2.0278341894636287E-2</v>
      </c>
      <c r="AS91" s="16">
        <f t="shared" si="241"/>
        <v>5.6756713375385459E-3</v>
      </c>
    </row>
    <row r="92" spans="1:45" ht="15">
      <c r="A92" s="47">
        <v>44216</v>
      </c>
      <c r="B92" s="48">
        <v>5.9400000000000001E-2</v>
      </c>
      <c r="C92" s="16"/>
      <c r="D92" s="47">
        <v>44581</v>
      </c>
      <c r="E92" s="48">
        <v>6.6100000000000006E-2</v>
      </c>
      <c r="F92" s="16"/>
      <c r="G92" s="47">
        <v>44946</v>
      </c>
      <c r="H92" s="48">
        <v>7.3499999999999996E-2</v>
      </c>
      <c r="I92" s="16"/>
      <c r="J92" s="47">
        <v>45310</v>
      </c>
      <c r="K92" s="48">
        <v>7.1800000000000003E-2</v>
      </c>
      <c r="L92" s="16"/>
      <c r="M92" s="47">
        <v>45678</v>
      </c>
      <c r="N92" s="48">
        <v>6.7799999999999999E-2</v>
      </c>
      <c r="O92" s="16"/>
      <c r="P92" s="16"/>
      <c r="Q92" s="47">
        <v>44216</v>
      </c>
      <c r="R92" s="50">
        <v>1019.2</v>
      </c>
      <c r="S92" s="50">
        <v>20775.669999999998</v>
      </c>
      <c r="T92" s="16">
        <f t="shared" ref="T92:U92" si="242">R92/R93-1</f>
        <v>2.6746587417518786E-2</v>
      </c>
      <c r="U92" s="16">
        <f t="shared" si="242"/>
        <v>8.5075976643183004E-3</v>
      </c>
      <c r="V92" s="16"/>
      <c r="W92" s="47">
        <v>44581</v>
      </c>
      <c r="X92" s="50">
        <v>1668.15</v>
      </c>
      <c r="Y92" s="50">
        <v>25492.99</v>
      </c>
      <c r="Z92" s="16">
        <f t="shared" ref="Z92:AA92" si="243">X92/X93-1</f>
        <v>-5.691690132405558E-4</v>
      </c>
      <c r="AA92" s="16">
        <f t="shared" si="243"/>
        <v>-9.9736658251070587E-3</v>
      </c>
      <c r="AB92" s="16"/>
      <c r="AC92" s="47">
        <v>44946</v>
      </c>
      <c r="AD92" s="50">
        <v>1047.8</v>
      </c>
      <c r="AE92" s="50">
        <v>26216.94</v>
      </c>
      <c r="AF92" s="16">
        <f t="shared" ref="AF92:AG92" si="244">AD92/AD93-1</f>
        <v>-4.7965047252694903E-3</v>
      </c>
      <c r="AG92" s="16">
        <f t="shared" si="244"/>
        <v>-4.4289475373069376E-3</v>
      </c>
      <c r="AH92" s="16"/>
      <c r="AI92" s="47">
        <v>45308</v>
      </c>
      <c r="AJ92" s="50">
        <v>1326.7</v>
      </c>
      <c r="AK92" s="50">
        <v>31712.86</v>
      </c>
      <c r="AL92" s="16">
        <f t="shared" ref="AL92:AM92" si="245">AJ92/AJ93-1</f>
        <v>5.4185138873101835E-3</v>
      </c>
      <c r="AM92" s="16">
        <f t="shared" si="245"/>
        <v>-2.3399326270541199E-3</v>
      </c>
      <c r="AN92" s="16"/>
      <c r="AO92" s="47">
        <v>45677</v>
      </c>
      <c r="AP92" s="50">
        <v>1674.2</v>
      </c>
      <c r="AQ92" s="50">
        <v>34265.550000000003</v>
      </c>
      <c r="AR92" s="16">
        <f t="shared" ref="AR92:AS92" si="246">AP92/AP93-1</f>
        <v>9.2533984386775625E-3</v>
      </c>
      <c r="AS92" s="16">
        <f t="shared" si="246"/>
        <v>-1.371082574954896E-2</v>
      </c>
    </row>
    <row r="93" spans="1:45" ht="15">
      <c r="A93" s="47">
        <v>44215</v>
      </c>
      <c r="B93" s="48">
        <v>5.9400000000000001E-2</v>
      </c>
      <c r="C93" s="16"/>
      <c r="D93" s="47">
        <v>44580</v>
      </c>
      <c r="E93" s="48">
        <v>6.6100000000000006E-2</v>
      </c>
      <c r="F93" s="16"/>
      <c r="G93" s="47">
        <v>44945</v>
      </c>
      <c r="H93" s="48">
        <v>7.3099999999999998E-2</v>
      </c>
      <c r="I93" s="16"/>
      <c r="J93" s="47">
        <v>45309</v>
      </c>
      <c r="K93" s="48">
        <v>7.17E-2</v>
      </c>
      <c r="L93" s="16"/>
      <c r="M93" s="47">
        <v>45677</v>
      </c>
      <c r="N93" s="48">
        <v>6.8000000000000005E-2</v>
      </c>
      <c r="O93" s="16"/>
      <c r="P93" s="16"/>
      <c r="Q93" s="47">
        <v>44215</v>
      </c>
      <c r="R93" s="49">
        <v>992.65</v>
      </c>
      <c r="S93" s="50">
        <v>20600.41</v>
      </c>
      <c r="T93" s="16">
        <f t="shared" ref="T93:U93" si="247">R93/R94-1</f>
        <v>-5.3607214428857963E-3</v>
      </c>
      <c r="U93" s="16">
        <f t="shared" si="247"/>
        <v>1.6793039351081784E-2</v>
      </c>
      <c r="V93" s="16"/>
      <c r="W93" s="47">
        <v>44580</v>
      </c>
      <c r="X93" s="50">
        <v>1669.1</v>
      </c>
      <c r="Y93" s="50">
        <v>25749.81</v>
      </c>
      <c r="Z93" s="16">
        <f t="shared" ref="Z93:AA93" si="248">X93/X94-1</f>
        <v>5.0883690121337199E-3</v>
      </c>
      <c r="AA93" s="16">
        <f t="shared" si="248"/>
        <v>-9.5518371698897209E-3</v>
      </c>
      <c r="AB93" s="16"/>
      <c r="AC93" s="47">
        <v>44945</v>
      </c>
      <c r="AD93" s="50">
        <v>1052.8499999999999</v>
      </c>
      <c r="AE93" s="50">
        <v>26333.57</v>
      </c>
      <c r="AF93" s="16">
        <f t="shared" ref="AF93:AG93" si="249">AD93/AD94-1</f>
        <v>4.3882661578820148E-3</v>
      </c>
      <c r="AG93" s="16">
        <f t="shared" si="249"/>
        <v>-3.034030433437751E-3</v>
      </c>
      <c r="AH93" s="16"/>
      <c r="AI93" s="47">
        <v>45307</v>
      </c>
      <c r="AJ93" s="50">
        <v>1319.55</v>
      </c>
      <c r="AK93" s="50">
        <v>31787.24</v>
      </c>
      <c r="AL93" s="16">
        <f t="shared" ref="AL93:AM93" si="250">AJ93/AJ94-1</f>
        <v>-1.386293998953736E-2</v>
      </c>
      <c r="AM93" s="16">
        <f t="shared" si="250"/>
        <v>7.890064175734901E-3</v>
      </c>
      <c r="AN93" s="16"/>
      <c r="AO93" s="47">
        <v>45674</v>
      </c>
      <c r="AP93" s="50">
        <v>1658.85</v>
      </c>
      <c r="AQ93" s="50">
        <v>34741.89</v>
      </c>
      <c r="AR93" s="16">
        <f t="shared" ref="AR93:AS93" si="251">AP93/AP94-1</f>
        <v>-1.8112403444908165E-2</v>
      </c>
      <c r="AS93" s="16">
        <f t="shared" si="251"/>
        <v>6.1011473388856707E-3</v>
      </c>
    </row>
    <row r="94" spans="1:45" ht="15">
      <c r="A94" s="47">
        <v>44214</v>
      </c>
      <c r="B94" s="48">
        <v>5.96E-2</v>
      </c>
      <c r="C94" s="16"/>
      <c r="D94" s="47">
        <v>44579</v>
      </c>
      <c r="E94" s="48">
        <v>6.6299999999999998E-2</v>
      </c>
      <c r="F94" s="16"/>
      <c r="G94" s="47">
        <v>44944</v>
      </c>
      <c r="H94" s="48">
        <v>7.3200000000000001E-2</v>
      </c>
      <c r="I94" s="16"/>
      <c r="J94" s="47">
        <v>45308</v>
      </c>
      <c r="K94" s="48">
        <v>7.1599999999999997E-2</v>
      </c>
      <c r="L94" s="16"/>
      <c r="M94" s="47">
        <v>45674</v>
      </c>
      <c r="N94" s="48">
        <v>6.8000000000000005E-2</v>
      </c>
      <c r="O94" s="16"/>
      <c r="P94" s="16"/>
      <c r="Q94" s="47">
        <v>44214</v>
      </c>
      <c r="R94" s="49">
        <v>998</v>
      </c>
      <c r="S94" s="50">
        <v>20260.18</v>
      </c>
      <c r="T94" s="16">
        <f t="shared" ref="T94:U94" si="252">R94/R95-1</f>
        <v>-9.0358454969715618E-3</v>
      </c>
      <c r="U94" s="16">
        <f t="shared" si="252"/>
        <v>-1.0558506923587063E-2</v>
      </c>
      <c r="V94" s="16"/>
      <c r="W94" s="47">
        <v>44579</v>
      </c>
      <c r="X94" s="50">
        <v>1660.65</v>
      </c>
      <c r="Y94" s="50">
        <v>25998.14</v>
      </c>
      <c r="Z94" s="16">
        <f t="shared" ref="Z94:AA94" si="253">X94/X95-1</f>
        <v>-3.543112711642904E-2</v>
      </c>
      <c r="AA94" s="16">
        <f t="shared" si="253"/>
        <v>-1.0652608810312159E-2</v>
      </c>
      <c r="AB94" s="16"/>
      <c r="AC94" s="47">
        <v>44944</v>
      </c>
      <c r="AD94" s="50">
        <v>1048.25</v>
      </c>
      <c r="AE94" s="50">
        <v>26413.71</v>
      </c>
      <c r="AF94" s="16">
        <f t="shared" ref="AF94:AG94" si="254">AD94/AD95-1</f>
        <v>2.4385579037964344E-3</v>
      </c>
      <c r="AG94" s="16">
        <f t="shared" si="254"/>
        <v>6.2055228010107211E-3</v>
      </c>
      <c r="AH94" s="16"/>
      <c r="AI94" s="47">
        <v>45306</v>
      </c>
      <c r="AJ94" s="50">
        <v>1338.1</v>
      </c>
      <c r="AK94" s="50">
        <v>31538.400000000001</v>
      </c>
      <c r="AL94" s="16">
        <f t="shared" ref="AL94:AM94" si="255">AJ94/AJ95-1</f>
        <v>2.3364307292264019E-2</v>
      </c>
      <c r="AM94" s="16">
        <f t="shared" si="255"/>
        <v>-5.0864930958205434E-3</v>
      </c>
      <c r="AN94" s="16"/>
      <c r="AO94" s="47">
        <v>45673</v>
      </c>
      <c r="AP94" s="50">
        <v>1689.45</v>
      </c>
      <c r="AQ94" s="50">
        <v>34531.21</v>
      </c>
      <c r="AR94" s="16">
        <f t="shared" ref="AR94:AS94" si="256">AP94/AP95-1</f>
        <v>8.0551329096929525E-3</v>
      </c>
      <c r="AS94" s="16">
        <f t="shared" si="256"/>
        <v>-3.735069172061567E-3</v>
      </c>
    </row>
    <row r="95" spans="1:45" ht="15">
      <c r="A95" s="47">
        <v>44211</v>
      </c>
      <c r="B95" s="48">
        <v>5.96E-2</v>
      </c>
      <c r="C95" s="16"/>
      <c r="D95" s="47">
        <v>44578</v>
      </c>
      <c r="E95" s="48">
        <v>6.6400000000000001E-2</v>
      </c>
      <c r="F95" s="16"/>
      <c r="G95" s="47">
        <v>44943</v>
      </c>
      <c r="H95" s="48">
        <v>7.3300000000000004E-2</v>
      </c>
      <c r="I95" s="16"/>
      <c r="J95" s="47">
        <v>45307</v>
      </c>
      <c r="K95" s="48">
        <v>7.1400000000000005E-2</v>
      </c>
      <c r="L95" s="16"/>
      <c r="M95" s="47">
        <v>45673</v>
      </c>
      <c r="N95" s="48">
        <v>6.8000000000000005E-2</v>
      </c>
      <c r="O95" s="16"/>
      <c r="P95" s="16"/>
      <c r="Q95" s="47">
        <v>44211</v>
      </c>
      <c r="R95" s="50">
        <v>1007.1</v>
      </c>
      <c r="S95" s="50">
        <v>20476.38</v>
      </c>
      <c r="T95" s="16">
        <f t="shared" ref="T95:U95" si="257">R95/R96-1</f>
        <v>-4.3544327840828179E-2</v>
      </c>
      <c r="U95" s="16">
        <f t="shared" si="257"/>
        <v>-1.1092882425298378E-2</v>
      </c>
      <c r="V95" s="16"/>
      <c r="W95" s="47">
        <v>44578</v>
      </c>
      <c r="X95" s="50">
        <v>1721.65</v>
      </c>
      <c r="Y95" s="50">
        <v>26278.07</v>
      </c>
      <c r="Z95" s="16">
        <f t="shared" ref="Z95:AA95" si="258">X95/X96-1</f>
        <v>-1.0119304297829479E-2</v>
      </c>
      <c r="AA95" s="16">
        <f t="shared" si="258"/>
        <v>2.866087317582755E-3</v>
      </c>
      <c r="AB95" s="16"/>
      <c r="AC95" s="47">
        <v>44943</v>
      </c>
      <c r="AD95" s="50">
        <v>1045.7</v>
      </c>
      <c r="AE95" s="50">
        <v>26250.81</v>
      </c>
      <c r="AF95" s="16">
        <f t="shared" ref="AF95:AG95" si="259">AD95/AD96-1</f>
        <v>1.0728784071138753E-2</v>
      </c>
      <c r="AG95" s="16">
        <f t="shared" si="259"/>
        <v>8.8553630441359221E-3</v>
      </c>
      <c r="AH95" s="16"/>
      <c r="AI95" s="51">
        <v>45303</v>
      </c>
      <c r="AJ95" s="50">
        <v>1307.55</v>
      </c>
      <c r="AK95" s="50">
        <v>31699.64</v>
      </c>
      <c r="AL95" s="16">
        <f t="shared" ref="AL95:AM95" si="260">AJ95/AJ96-1</f>
        <v>4.7296756107328752E-2</v>
      </c>
      <c r="AM95" s="16">
        <f t="shared" si="260"/>
        <v>-2.0893807469089865E-2</v>
      </c>
      <c r="AN95" s="16"/>
      <c r="AO95" s="47">
        <v>45672</v>
      </c>
      <c r="AP95" s="50">
        <v>1675.95</v>
      </c>
      <c r="AQ95" s="50">
        <v>34660.67</v>
      </c>
      <c r="AR95" s="16">
        <f t="shared" ref="AR95:AS95" si="261">AP95/AP96-1</f>
        <v>1.7422977690089603E-2</v>
      </c>
      <c r="AS95" s="16">
        <f t="shared" si="261"/>
        <v>4.2478340711002982E-3</v>
      </c>
    </row>
    <row r="96" spans="1:45" ht="15">
      <c r="A96" s="47">
        <v>44210</v>
      </c>
      <c r="B96" s="48">
        <v>5.9299999999999999E-2</v>
      </c>
      <c r="C96" s="16"/>
      <c r="D96" s="47">
        <v>44575</v>
      </c>
      <c r="E96" s="48">
        <v>6.59E-2</v>
      </c>
      <c r="F96" s="16"/>
      <c r="G96" s="47">
        <v>44942</v>
      </c>
      <c r="H96" s="48">
        <v>7.3300000000000004E-2</v>
      </c>
      <c r="I96" s="16"/>
      <c r="J96" s="47">
        <v>45306</v>
      </c>
      <c r="K96" s="48">
        <v>7.1400000000000005E-2</v>
      </c>
      <c r="L96" s="16"/>
      <c r="M96" s="47">
        <v>45672</v>
      </c>
      <c r="N96" s="48">
        <v>6.8500000000000005E-2</v>
      </c>
      <c r="O96" s="16"/>
      <c r="P96" s="16"/>
      <c r="Q96" s="47">
        <v>44210</v>
      </c>
      <c r="R96" s="50">
        <v>1052.95</v>
      </c>
      <c r="S96" s="50">
        <v>20706.07</v>
      </c>
      <c r="T96" s="16">
        <f t="shared" ref="T96:U96" si="262">R96/R97-1</f>
        <v>-1.4599223246455351E-2</v>
      </c>
      <c r="U96" s="16">
        <f t="shared" si="262"/>
        <v>2.2129344372192605E-3</v>
      </c>
      <c r="V96" s="16"/>
      <c r="W96" s="47">
        <v>44575</v>
      </c>
      <c r="X96" s="50">
        <v>1739.25</v>
      </c>
      <c r="Y96" s="50">
        <v>26202.97</v>
      </c>
      <c r="Z96" s="16">
        <f t="shared" ref="Z96:AA96" si="263">X96/X97-1</f>
        <v>1.1780104712041828E-2</v>
      </c>
      <c r="AA96" s="16">
        <f t="shared" si="263"/>
        <v>-1.1066222949274174E-4</v>
      </c>
      <c r="AB96" s="16"/>
      <c r="AC96" s="47">
        <v>44942</v>
      </c>
      <c r="AD96" s="50">
        <v>1034.5999999999999</v>
      </c>
      <c r="AE96" s="50">
        <v>26020.39</v>
      </c>
      <c r="AF96" s="16">
        <f t="shared" ref="AF96:AG96" si="264">AD96/AD97-1</f>
        <v>3.1402651779483426E-2</v>
      </c>
      <c r="AG96" s="16">
        <f t="shared" si="264"/>
        <v>-3.4396519367910772E-3</v>
      </c>
      <c r="AH96" s="16"/>
      <c r="AI96" s="51">
        <v>45302</v>
      </c>
      <c r="AJ96" s="50">
        <v>1248.5</v>
      </c>
      <c r="AK96" s="50">
        <v>32376.1</v>
      </c>
      <c r="AL96" s="16">
        <f t="shared" ref="AL96:AM96" si="265">AJ96/AJ97-1</f>
        <v>5.9219272448938209E-3</v>
      </c>
      <c r="AM96" s="16">
        <f t="shared" si="265"/>
        <v>-2.947172623630423E-3</v>
      </c>
      <c r="AN96" s="16"/>
      <c r="AO96" s="47">
        <v>45671</v>
      </c>
      <c r="AP96" s="50">
        <v>1647.25</v>
      </c>
      <c r="AQ96" s="50">
        <v>34514.06</v>
      </c>
      <c r="AR96" s="16">
        <f t="shared" ref="AR96:AS96" si="266">AP96/AP97-1</f>
        <v>-5.4339622641509377E-3</v>
      </c>
      <c r="AS96" s="16">
        <f t="shared" si="266"/>
        <v>1.6016195539783062E-3</v>
      </c>
    </row>
    <row r="97" spans="1:45" ht="15">
      <c r="A97" s="47">
        <v>44209</v>
      </c>
      <c r="B97" s="48">
        <v>5.9499999999999997E-2</v>
      </c>
      <c r="C97" s="16"/>
      <c r="D97" s="47">
        <v>44574</v>
      </c>
      <c r="E97" s="48">
        <v>6.5699999999999995E-2</v>
      </c>
      <c r="F97" s="16"/>
      <c r="G97" s="47">
        <v>44939</v>
      </c>
      <c r="H97" s="48">
        <v>7.2999999999999995E-2</v>
      </c>
      <c r="I97" s="16"/>
      <c r="J97" s="51">
        <v>45303</v>
      </c>
      <c r="K97" s="48">
        <v>7.1800000000000003E-2</v>
      </c>
      <c r="L97" s="16"/>
      <c r="M97" s="47">
        <v>45671</v>
      </c>
      <c r="N97" s="48">
        <v>6.88E-2</v>
      </c>
      <c r="O97" s="16"/>
      <c r="P97" s="16"/>
      <c r="Q97" s="47">
        <v>44209</v>
      </c>
      <c r="R97" s="50">
        <v>1068.55</v>
      </c>
      <c r="S97" s="50">
        <v>20660.349999999999</v>
      </c>
      <c r="T97" s="16">
        <f t="shared" ref="T97:U97" si="267">R97/R98-1</f>
        <v>4.1347554386128582E-3</v>
      </c>
      <c r="U97" s="16">
        <f t="shared" si="267"/>
        <v>9.7297265898355079E-5</v>
      </c>
      <c r="V97" s="16"/>
      <c r="W97" s="47">
        <v>44574</v>
      </c>
      <c r="X97" s="50">
        <v>1719</v>
      </c>
      <c r="Y97" s="50">
        <v>26205.87</v>
      </c>
      <c r="Z97" s="16">
        <f t="shared" ref="Z97:AA97" si="268">X97/X98-1</f>
        <v>-5.6974289267431866E-3</v>
      </c>
      <c r="AA97" s="16">
        <f t="shared" si="268"/>
        <v>2.4938142389563378E-3</v>
      </c>
      <c r="AB97" s="16"/>
      <c r="AC97" s="47">
        <v>44939</v>
      </c>
      <c r="AD97" s="50">
        <v>1003.1</v>
      </c>
      <c r="AE97" s="50">
        <v>26110.2</v>
      </c>
      <c r="AF97" s="16">
        <f t="shared" ref="AF97:AG97" si="269">AD97/AD98-1</f>
        <v>1.0478519035976852E-3</v>
      </c>
      <c r="AG97" s="16">
        <f t="shared" si="269"/>
        <v>5.5119811361081794E-3</v>
      </c>
      <c r="AH97" s="16"/>
      <c r="AI97" s="51">
        <v>45301</v>
      </c>
      <c r="AJ97" s="50">
        <v>1241.1500000000001</v>
      </c>
      <c r="AK97" s="50">
        <v>32471.8</v>
      </c>
      <c r="AL97" s="16">
        <f t="shared" ref="AL97:AM97" si="270">AJ97/AJ98-1</f>
        <v>5.3053620605865159E-3</v>
      </c>
      <c r="AM97" s="16">
        <f t="shared" si="270"/>
        <v>9.266586393963161E-3</v>
      </c>
      <c r="AN97" s="16"/>
      <c r="AO97" s="47">
        <v>45670</v>
      </c>
      <c r="AP97" s="50">
        <v>1656.25</v>
      </c>
      <c r="AQ97" s="50">
        <v>34458.870000000003</v>
      </c>
      <c r="AR97" s="16">
        <f t="shared" ref="AR97:AS97" si="271">AP97/AP98-1</f>
        <v>-2.8791743630339761E-2</v>
      </c>
      <c r="AS97" s="16">
        <f t="shared" si="271"/>
        <v>3.9038749454840538E-3</v>
      </c>
    </row>
    <row r="98" spans="1:45" ht="15">
      <c r="A98" s="51">
        <v>44208</v>
      </c>
      <c r="B98" s="48">
        <v>5.9299999999999999E-2</v>
      </c>
      <c r="C98" s="16"/>
      <c r="D98" s="51">
        <v>44573</v>
      </c>
      <c r="E98" s="48">
        <v>6.6000000000000003E-2</v>
      </c>
      <c r="F98" s="16"/>
      <c r="G98" s="51">
        <v>44938</v>
      </c>
      <c r="H98" s="48">
        <v>7.2900000000000006E-2</v>
      </c>
      <c r="I98" s="16"/>
      <c r="J98" s="51">
        <v>45302</v>
      </c>
      <c r="K98" s="48">
        <v>7.17E-2</v>
      </c>
      <c r="L98" s="16"/>
      <c r="M98" s="47">
        <v>45670</v>
      </c>
      <c r="N98" s="48">
        <v>6.88E-2</v>
      </c>
      <c r="O98" s="16"/>
      <c r="P98" s="16"/>
      <c r="Q98" s="52">
        <v>44208</v>
      </c>
      <c r="R98" s="50">
        <v>1064.1500000000001</v>
      </c>
      <c r="S98" s="50">
        <v>20658.34</v>
      </c>
      <c r="T98" s="16">
        <f t="shared" ref="T98:U98" si="272">R98/R99-1</f>
        <v>-1.252725838630353E-2</v>
      </c>
      <c r="U98" s="16">
        <f t="shared" si="272"/>
        <v>5.4315185766695695E-3</v>
      </c>
      <c r="V98" s="16"/>
      <c r="W98" s="51">
        <v>44573</v>
      </c>
      <c r="X98" s="50">
        <v>1728.85</v>
      </c>
      <c r="Y98" s="50">
        <v>26140.68</v>
      </c>
      <c r="Z98" s="16">
        <f t="shared" ref="Z98:AA98" si="273">X98/X99-1</f>
        <v>-5.4649523973883118E-3</v>
      </c>
      <c r="AA98" s="16">
        <f t="shared" si="273"/>
        <v>8.6738290678036734E-3</v>
      </c>
      <c r="AB98" s="16"/>
      <c r="AC98" s="51">
        <v>44938</v>
      </c>
      <c r="AD98" s="50">
        <v>1002.05</v>
      </c>
      <c r="AE98" s="50">
        <v>25967.07</v>
      </c>
      <c r="AF98" s="16">
        <f t="shared" ref="AF98:AG98" si="274">AD98/AD99-1</f>
        <v>-4.2728672926914957E-3</v>
      </c>
      <c r="AG98" s="16">
        <f t="shared" si="274"/>
        <v>-2.095566759922507E-3</v>
      </c>
      <c r="AH98" s="16"/>
      <c r="AI98" s="51">
        <v>45300</v>
      </c>
      <c r="AJ98" s="50">
        <v>1234.5999999999999</v>
      </c>
      <c r="AK98" s="50">
        <v>32173.66</v>
      </c>
      <c r="AL98" s="16">
        <f t="shared" ref="AL98:AM98" si="275">AJ98/AJ99-1</f>
        <v>6.152968501691003E-3</v>
      </c>
      <c r="AM98" s="16">
        <f t="shared" si="275"/>
        <v>1.1426530752105091E-2</v>
      </c>
      <c r="AN98" s="16"/>
      <c r="AO98" s="51">
        <v>45667</v>
      </c>
      <c r="AP98" s="50">
        <v>1705.35</v>
      </c>
      <c r="AQ98" s="50">
        <v>34324.870000000003</v>
      </c>
      <c r="AR98" s="16">
        <f t="shared" ref="AR98:AS98" si="276">AP98/AP99-1</f>
        <v>3.7759386600133782E-2</v>
      </c>
      <c r="AS98" s="16">
        <f t="shared" si="276"/>
        <v>-1.4747696955049405E-2</v>
      </c>
    </row>
    <row r="99" spans="1:45" ht="15">
      <c r="A99" s="51">
        <v>44207</v>
      </c>
      <c r="B99" s="48">
        <v>5.9299999999999999E-2</v>
      </c>
      <c r="C99" s="16"/>
      <c r="D99" s="51">
        <v>44572</v>
      </c>
      <c r="E99" s="48">
        <v>6.5799999999999997E-2</v>
      </c>
      <c r="F99" s="16"/>
      <c r="G99" s="51">
        <v>44937</v>
      </c>
      <c r="H99" s="48">
        <v>7.2999999999999995E-2</v>
      </c>
      <c r="I99" s="16"/>
      <c r="J99" s="51">
        <v>45301</v>
      </c>
      <c r="K99" s="48">
        <v>7.1800000000000003E-2</v>
      </c>
      <c r="L99" s="16"/>
      <c r="M99" s="51">
        <v>45667</v>
      </c>
      <c r="N99" s="48">
        <v>6.8000000000000005E-2</v>
      </c>
      <c r="O99" s="16"/>
      <c r="P99" s="16"/>
      <c r="Q99" s="52">
        <v>44207</v>
      </c>
      <c r="R99" s="50">
        <v>1077.6500000000001</v>
      </c>
      <c r="S99" s="50">
        <v>20546.740000000002</v>
      </c>
      <c r="T99" s="16">
        <f t="shared" ref="T99:U99" si="277">R99/R100-1</f>
        <v>2.5405585422712873E-2</v>
      </c>
      <c r="U99" s="16">
        <f t="shared" si="277"/>
        <v>9.5849628064921255E-3</v>
      </c>
      <c r="V99" s="16"/>
      <c r="W99" s="51">
        <v>44572</v>
      </c>
      <c r="X99" s="50">
        <v>1738.35</v>
      </c>
      <c r="Y99" s="50">
        <v>25915.89</v>
      </c>
      <c r="Z99" s="16">
        <f t="shared" ref="Z99:AA99" si="278">X99/X100-1</f>
        <v>1.249344749257375E-2</v>
      </c>
      <c r="AA99" s="16">
        <f t="shared" si="278"/>
        <v>2.9128558060913523E-3</v>
      </c>
      <c r="AB99" s="16"/>
      <c r="AC99" s="51">
        <v>44937</v>
      </c>
      <c r="AD99" s="50">
        <v>1006.35</v>
      </c>
      <c r="AE99" s="50">
        <v>26021.599999999999</v>
      </c>
      <c r="AF99" s="16">
        <f t="shared" ref="AF99:AG99" si="279">AD99/AD100-1</f>
        <v>3.6902209145763809E-3</v>
      </c>
      <c r="AG99" s="16">
        <f t="shared" si="279"/>
        <v>-1.0315385126267174E-3</v>
      </c>
      <c r="AH99" s="16"/>
      <c r="AI99" s="51">
        <v>45299</v>
      </c>
      <c r="AJ99" s="50">
        <v>1227.05</v>
      </c>
      <c r="AK99" s="50">
        <v>31810.18</v>
      </c>
      <c r="AL99" s="16">
        <f t="shared" ref="AL99:AM99" si="280">AJ99/AJ100-1</f>
        <v>-1.7613386173491841E-2</v>
      </c>
      <c r="AM99" s="16">
        <f t="shared" si="280"/>
        <v>1.3182952817747395E-3</v>
      </c>
      <c r="AN99" s="16"/>
      <c r="AO99" s="51">
        <v>45666</v>
      </c>
      <c r="AP99" s="50">
        <v>1643.3</v>
      </c>
      <c r="AQ99" s="50">
        <v>34838.660000000003</v>
      </c>
      <c r="AR99" s="16">
        <f t="shared" ref="AR99:AS99" si="281">AP99/AP100-1</f>
        <v>-1.2232140173714545E-2</v>
      </c>
      <c r="AS99" s="16">
        <f t="shared" si="281"/>
        <v>-4.0380321161489485E-3</v>
      </c>
    </row>
    <row r="100" spans="1:45" ht="15">
      <c r="A100" s="51">
        <v>44204</v>
      </c>
      <c r="B100" s="48">
        <v>5.8900000000000001E-2</v>
      </c>
      <c r="C100" s="16"/>
      <c r="D100" s="51">
        <v>44571</v>
      </c>
      <c r="E100" s="48">
        <v>6.59E-2</v>
      </c>
      <c r="F100" s="16"/>
      <c r="G100" s="51">
        <v>44936</v>
      </c>
      <c r="H100" s="48">
        <v>7.3099999999999998E-2</v>
      </c>
      <c r="I100" s="16"/>
      <c r="J100" s="51">
        <v>45300</v>
      </c>
      <c r="K100" s="48">
        <v>7.1999999999999995E-2</v>
      </c>
      <c r="L100" s="16"/>
      <c r="M100" s="51">
        <v>45666</v>
      </c>
      <c r="N100" s="48">
        <v>6.8199999999999997E-2</v>
      </c>
      <c r="O100" s="16"/>
      <c r="P100" s="16"/>
      <c r="Q100" s="51">
        <v>44204</v>
      </c>
      <c r="R100" s="50">
        <v>1050.95</v>
      </c>
      <c r="S100" s="50">
        <v>20351.669999999998</v>
      </c>
      <c r="T100" s="16">
        <f t="shared" ref="T100:U100" si="282">R100/R101-1</f>
        <v>5.644350623240868E-2</v>
      </c>
      <c r="U100" s="16">
        <f t="shared" si="282"/>
        <v>1.484494092690869E-2</v>
      </c>
      <c r="V100" s="16"/>
      <c r="W100" s="51">
        <v>44571</v>
      </c>
      <c r="X100" s="50">
        <v>1716.9</v>
      </c>
      <c r="Y100" s="50">
        <v>25840.62</v>
      </c>
      <c r="Z100" s="16">
        <f t="shared" ref="Z100:AA100" si="283">X100/X101-1</f>
        <v>8.0140907089387703E-3</v>
      </c>
      <c r="AA100" s="16">
        <f t="shared" si="283"/>
        <v>1.0699705011057103E-2</v>
      </c>
      <c r="AB100" s="16"/>
      <c r="AC100" s="51">
        <v>44936</v>
      </c>
      <c r="AD100" s="50">
        <v>1002.65</v>
      </c>
      <c r="AE100" s="50">
        <v>26048.47</v>
      </c>
      <c r="AF100" s="16">
        <f t="shared" ref="AF100:AG100" si="284">AD100/AD101-1</f>
        <v>-1.2508002166740528E-2</v>
      </c>
      <c r="AG100" s="16">
        <f t="shared" si="284"/>
        <v>-1.0331905923957829E-2</v>
      </c>
      <c r="AH100" s="16"/>
      <c r="AI100" s="51">
        <v>45296</v>
      </c>
      <c r="AJ100" s="50">
        <v>1249.05</v>
      </c>
      <c r="AK100" s="50">
        <v>31768.3</v>
      </c>
      <c r="AL100" s="16">
        <f t="shared" ref="AL100:AM100" si="285">AJ100/AJ101-1</f>
        <v>9.2154820097745116E-4</v>
      </c>
      <c r="AM100" s="16">
        <f t="shared" si="285"/>
        <v>3.4267419798159615E-3</v>
      </c>
      <c r="AN100" s="16"/>
      <c r="AO100" s="51">
        <v>45665</v>
      </c>
      <c r="AP100" s="50">
        <v>1663.65</v>
      </c>
      <c r="AQ100" s="50">
        <v>34979.910000000003</v>
      </c>
      <c r="AR100" s="16">
        <f t="shared" ref="AR100:AS100" si="286">AP100/AP101-1</f>
        <v>-3.7427390861728416E-3</v>
      </c>
      <c r="AS100" s="16">
        <f t="shared" si="286"/>
        <v>-6.8571889329875901E-3</v>
      </c>
    </row>
    <row r="101" spans="1:45" ht="15">
      <c r="A101" s="51">
        <v>44203</v>
      </c>
      <c r="B101" s="48">
        <v>5.8900000000000001E-2</v>
      </c>
      <c r="C101" s="16"/>
      <c r="D101" s="51">
        <v>44568</v>
      </c>
      <c r="E101" s="48">
        <v>6.5199999999999994E-2</v>
      </c>
      <c r="F101" s="16"/>
      <c r="G101" s="51">
        <v>44935</v>
      </c>
      <c r="H101" s="48">
        <v>7.3400000000000007E-2</v>
      </c>
      <c r="I101" s="16"/>
      <c r="J101" s="51">
        <v>45299</v>
      </c>
      <c r="K101" s="48">
        <v>7.22E-2</v>
      </c>
      <c r="L101" s="16"/>
      <c r="M101" s="51">
        <v>45665</v>
      </c>
      <c r="N101" s="48">
        <v>6.7900000000000002E-2</v>
      </c>
      <c r="O101" s="16"/>
      <c r="P101" s="16"/>
      <c r="Q101" s="51">
        <v>44203</v>
      </c>
      <c r="R101" s="49">
        <v>994.8</v>
      </c>
      <c r="S101" s="50">
        <v>20053.97</v>
      </c>
      <c r="T101" s="16">
        <f t="shared" ref="T101:U101" si="287">R101/R102-1</f>
        <v>-1.7059708981435051E-3</v>
      </c>
      <c r="U101" s="16">
        <f t="shared" si="287"/>
        <v>-6.2741197295401729E-4</v>
      </c>
      <c r="V101" s="16"/>
      <c r="W101" s="51">
        <v>44568</v>
      </c>
      <c r="X101" s="50">
        <v>1703.25</v>
      </c>
      <c r="Y101" s="50">
        <v>25567.06</v>
      </c>
      <c r="Z101" s="16">
        <f t="shared" ref="Z101:AA101" si="288">X101/X102-1</f>
        <v>6.8572104158661773E-3</v>
      </c>
      <c r="AA101" s="16">
        <f t="shared" si="288"/>
        <v>3.7642543454996513E-3</v>
      </c>
      <c r="AB101" s="16"/>
      <c r="AC101" s="51">
        <v>44935</v>
      </c>
      <c r="AD101" s="50">
        <v>1015.35</v>
      </c>
      <c r="AE101" s="50">
        <v>26320.41</v>
      </c>
      <c r="AF101" s="16">
        <f t="shared" ref="AF101:AG101" si="289">AD101/AD102-1</f>
        <v>2.9244804865686813E-2</v>
      </c>
      <c r="AG101" s="16">
        <f t="shared" si="289"/>
        <v>1.3533854853584826E-2</v>
      </c>
      <c r="AH101" s="16"/>
      <c r="AI101" s="51">
        <v>45295</v>
      </c>
      <c r="AJ101" s="50">
        <v>1247.9000000000001</v>
      </c>
      <c r="AK101" s="50">
        <v>31659.81</v>
      </c>
      <c r="AL101" s="16">
        <f t="shared" ref="AL101:AM101" si="290">AJ101/AJ102-1</f>
        <v>2.973798424690699E-3</v>
      </c>
      <c r="AM101" s="16">
        <f t="shared" si="290"/>
        <v>1.4804031631281411E-3</v>
      </c>
      <c r="AN101" s="16"/>
      <c r="AO101" s="51">
        <v>45664</v>
      </c>
      <c r="AP101" s="50">
        <v>1669.9</v>
      </c>
      <c r="AQ101" s="50">
        <v>35221.43</v>
      </c>
      <c r="AR101" s="16">
        <f t="shared" ref="AR101:AS101" si="291">AP101/AP102-1</f>
        <v>-9.3729607878032528E-3</v>
      </c>
      <c r="AS101" s="16">
        <f t="shared" si="291"/>
        <v>-8.0029186113672601E-4</v>
      </c>
    </row>
    <row r="102" spans="1:45" ht="15">
      <c r="A102" s="51">
        <v>44202</v>
      </c>
      <c r="B102" s="48">
        <v>5.8999999999999997E-2</v>
      </c>
      <c r="C102" s="16"/>
      <c r="D102" s="51">
        <v>44567</v>
      </c>
      <c r="E102" s="48">
        <v>6.5299999999999997E-2</v>
      </c>
      <c r="F102" s="16"/>
      <c r="G102" s="51">
        <v>44932</v>
      </c>
      <c r="H102" s="48">
        <v>7.3700000000000002E-2</v>
      </c>
      <c r="I102" s="16"/>
      <c r="J102" s="51">
        <v>45296</v>
      </c>
      <c r="K102" s="48">
        <v>7.2300000000000003E-2</v>
      </c>
      <c r="L102" s="16"/>
      <c r="M102" s="51">
        <v>45664</v>
      </c>
      <c r="N102" s="48">
        <v>6.7799999999999999E-2</v>
      </c>
      <c r="O102" s="16"/>
      <c r="P102" s="16"/>
      <c r="Q102" s="51">
        <v>44202</v>
      </c>
      <c r="R102" s="49">
        <v>996.5</v>
      </c>
      <c r="S102" s="50">
        <v>20066.560000000001</v>
      </c>
      <c r="T102" s="16">
        <f t="shared" ref="T102:U102" si="292">R102/R103-1</f>
        <v>-7.5689672343391967E-3</v>
      </c>
      <c r="U102" s="16">
        <f t="shared" si="292"/>
        <v>-3.7518375663347925E-3</v>
      </c>
      <c r="V102" s="16"/>
      <c r="W102" s="51">
        <v>44567</v>
      </c>
      <c r="X102" s="50">
        <v>1691.65</v>
      </c>
      <c r="Y102" s="50">
        <v>25471.18</v>
      </c>
      <c r="Z102" s="16">
        <f t="shared" ref="Z102:AA102" si="293">X102/X103-1</f>
        <v>-2.5575300250568755E-2</v>
      </c>
      <c r="AA102" s="16">
        <f t="shared" si="293"/>
        <v>-1.0004438643718472E-2</v>
      </c>
      <c r="AB102" s="16"/>
      <c r="AC102" s="51">
        <v>44932</v>
      </c>
      <c r="AD102" s="49">
        <v>986.5</v>
      </c>
      <c r="AE102" s="50">
        <v>25968.95</v>
      </c>
      <c r="AF102" s="16">
        <f t="shared" ref="AF102:AG102" si="294">AD102/AD103-1</f>
        <v>-2.4040364068064868E-2</v>
      </c>
      <c r="AG102" s="16">
        <f t="shared" si="294"/>
        <v>-7.3733317789069774E-3</v>
      </c>
      <c r="AH102" s="16"/>
      <c r="AI102" s="51">
        <v>45294</v>
      </c>
      <c r="AJ102" s="50">
        <v>1244.2</v>
      </c>
      <c r="AK102" s="50">
        <v>31613.01</v>
      </c>
      <c r="AL102" s="16">
        <f t="shared" ref="AL102:AM102" si="295">AJ102/AJ103-1</f>
        <v>-2.6371390562641817E-2</v>
      </c>
      <c r="AM102" s="16">
        <f t="shared" si="295"/>
        <v>-9.1111717798161296E-3</v>
      </c>
      <c r="AN102" s="16"/>
      <c r="AO102" s="51">
        <v>45663</v>
      </c>
      <c r="AP102" s="50">
        <v>1685.7</v>
      </c>
      <c r="AQ102" s="50">
        <v>35249.64</v>
      </c>
      <c r="AR102" s="16">
        <f t="shared" ref="AR102:AS102" si="296">AP102/AP103-1</f>
        <v>-2.4853541629682452E-3</v>
      </c>
      <c r="AS102" s="16">
        <f t="shared" si="296"/>
        <v>3.8902926092414525E-3</v>
      </c>
    </row>
    <row r="103" spans="1:45" ht="15">
      <c r="A103" s="51">
        <v>44201</v>
      </c>
      <c r="B103" s="48">
        <v>5.8599999999999999E-2</v>
      </c>
      <c r="C103" s="16"/>
      <c r="D103" s="51">
        <v>44566</v>
      </c>
      <c r="E103" s="48">
        <v>6.5199999999999994E-2</v>
      </c>
      <c r="F103" s="16"/>
      <c r="G103" s="51">
        <v>44931</v>
      </c>
      <c r="H103" s="48">
        <v>7.3300000000000004E-2</v>
      </c>
      <c r="I103" s="16"/>
      <c r="J103" s="51">
        <v>45295</v>
      </c>
      <c r="K103" s="48">
        <v>7.22E-2</v>
      </c>
      <c r="L103" s="16"/>
      <c r="M103" s="51">
        <v>45663</v>
      </c>
      <c r="N103" s="48">
        <v>6.8199999999999997E-2</v>
      </c>
      <c r="O103" s="16"/>
      <c r="P103" s="16"/>
      <c r="Q103" s="51">
        <v>44201</v>
      </c>
      <c r="R103" s="50">
        <v>1004.1</v>
      </c>
      <c r="S103" s="50">
        <v>20142.13</v>
      </c>
      <c r="T103" s="16">
        <f t="shared" ref="T103:U103" si="297">R103/R104-1</f>
        <v>2.4960063897763174E-3</v>
      </c>
      <c r="U103" s="16">
        <f t="shared" si="297"/>
        <v>4.714776474602278E-3</v>
      </c>
      <c r="V103" s="16"/>
      <c r="W103" s="51">
        <v>44566</v>
      </c>
      <c r="X103" s="50">
        <v>1736.05</v>
      </c>
      <c r="Y103" s="50">
        <v>25728.58</v>
      </c>
      <c r="Z103" s="16">
        <f t="shared" ref="Z103:AA103" si="298">X103/X104-1</f>
        <v>-2.8728879937339191E-2</v>
      </c>
      <c r="AA103" s="16">
        <f t="shared" si="298"/>
        <v>6.7396192099495877E-3</v>
      </c>
      <c r="AB103" s="16"/>
      <c r="AC103" s="51">
        <v>44931</v>
      </c>
      <c r="AD103" s="50">
        <v>1010.8</v>
      </c>
      <c r="AE103" s="50">
        <v>26161.85</v>
      </c>
      <c r="AF103" s="16">
        <f t="shared" ref="AF103:AG103" si="299">AD103/AD104-1</f>
        <v>-9.0681829322092344E-3</v>
      </c>
      <c r="AG103" s="16">
        <f t="shared" si="299"/>
        <v>-2.816007025533529E-3</v>
      </c>
      <c r="AH103" s="16"/>
      <c r="AI103" s="51">
        <v>45293</v>
      </c>
      <c r="AJ103" s="50">
        <v>1277.9000000000001</v>
      </c>
      <c r="AK103" s="50">
        <v>31903.69</v>
      </c>
      <c r="AL103" s="16">
        <f t="shared" ref="AL103:AM103" si="300">AJ103/AJ104-1</f>
        <v>-1.5561204837839737E-2</v>
      </c>
      <c r="AM103" s="16">
        <f t="shared" si="300"/>
        <v>2.4105342104510097E-3</v>
      </c>
      <c r="AN103" s="16"/>
      <c r="AO103" s="51">
        <v>45660</v>
      </c>
      <c r="AP103" s="50">
        <v>1689.9</v>
      </c>
      <c r="AQ103" s="50">
        <v>35113.040000000001</v>
      </c>
      <c r="AR103" s="16">
        <f t="shared" ref="AR103:AS103" si="301">AP103/AP104-1</f>
        <v>-2.1850490550748169E-2</v>
      </c>
      <c r="AS103" s="16">
        <f t="shared" si="301"/>
        <v>-1.6192335538186664E-2</v>
      </c>
    </row>
    <row r="104" spans="1:45" ht="15">
      <c r="A104" s="51">
        <v>44200</v>
      </c>
      <c r="B104" s="48">
        <v>5.8599999999999999E-2</v>
      </c>
      <c r="C104" s="16"/>
      <c r="D104" s="51">
        <v>44565</v>
      </c>
      <c r="E104" s="48">
        <v>6.5199999999999994E-2</v>
      </c>
      <c r="F104" s="16"/>
      <c r="G104" s="51">
        <v>44930</v>
      </c>
      <c r="H104" s="48">
        <v>7.3200000000000001E-2</v>
      </c>
      <c r="I104" s="16"/>
      <c r="J104" s="51">
        <v>45294</v>
      </c>
      <c r="K104" s="48">
        <v>7.22E-2</v>
      </c>
      <c r="L104" s="16"/>
      <c r="M104" s="51">
        <v>45660</v>
      </c>
      <c r="N104" s="48">
        <v>6.8199999999999997E-2</v>
      </c>
      <c r="O104" s="16"/>
      <c r="P104" s="16"/>
      <c r="Q104" s="51">
        <v>44200</v>
      </c>
      <c r="R104" s="50">
        <v>1001.6</v>
      </c>
      <c r="S104" s="50">
        <v>20047.61</v>
      </c>
      <c r="T104" s="16">
        <f t="shared" ref="T104:U104" si="302">R104/R105-1</f>
        <v>2.460232213186031E-2</v>
      </c>
      <c r="U104" s="16">
        <f t="shared" si="302"/>
        <v>8.1592689295040266E-3</v>
      </c>
      <c r="V104" s="16"/>
      <c r="W104" s="51">
        <v>44565</v>
      </c>
      <c r="X104" s="50">
        <v>1787.4</v>
      </c>
      <c r="Y104" s="50">
        <v>25556.34</v>
      </c>
      <c r="Z104" s="16">
        <f t="shared" ref="Z104:AA104" si="303">X104/X105-1</f>
        <v>1.2884432244693045E-3</v>
      </c>
      <c r="AA104" s="16">
        <f t="shared" si="303"/>
        <v>1.0186717620677355E-2</v>
      </c>
      <c r="AB104" s="16"/>
      <c r="AC104" s="51">
        <v>44930</v>
      </c>
      <c r="AD104" s="50">
        <v>1020.05</v>
      </c>
      <c r="AE104" s="50">
        <v>26235.73</v>
      </c>
      <c r="AF104" s="16">
        <f t="shared" ref="AF104:AG104" si="304">AD104/AD105-1</f>
        <v>-3.9060592744495359E-3</v>
      </c>
      <c r="AG104" s="16">
        <f t="shared" si="304"/>
        <v>-1.0400034701987249E-2</v>
      </c>
      <c r="AH104" s="16"/>
      <c r="AI104" s="51">
        <v>45292</v>
      </c>
      <c r="AJ104" s="50">
        <v>1298.0999999999999</v>
      </c>
      <c r="AK104" s="50">
        <v>31826.97</v>
      </c>
      <c r="AL104" s="16">
        <f t="shared" ref="AL104:AM104" si="305">AJ104/AJ105-1</f>
        <v>2.0037718057519971E-2</v>
      </c>
      <c r="AM104" s="16">
        <f t="shared" si="305"/>
        <v>6.5659140475962108E-3</v>
      </c>
      <c r="AN104" s="16"/>
      <c r="AO104" s="51">
        <v>45659</v>
      </c>
      <c r="AP104" s="50">
        <v>1727.65</v>
      </c>
      <c r="AQ104" s="50">
        <v>35690.959999999999</v>
      </c>
      <c r="AR104" s="16">
        <f t="shared" ref="AR104:AS104" si="306">AP104/AP105-1</f>
        <v>1.3879107981220606E-2</v>
      </c>
      <c r="AS104" s="16">
        <f t="shared" si="306"/>
        <v>-7.6039019664707608E-3</v>
      </c>
    </row>
    <row r="105" spans="1:45" ht="15">
      <c r="A105" s="51">
        <v>44197</v>
      </c>
      <c r="B105" s="48">
        <v>5.8999999999999997E-2</v>
      </c>
      <c r="C105" s="16"/>
      <c r="D105" s="51">
        <v>44564</v>
      </c>
      <c r="E105" s="48">
        <v>6.4699999999999994E-2</v>
      </c>
      <c r="F105" s="16"/>
      <c r="G105" s="51">
        <v>44929</v>
      </c>
      <c r="H105" s="48">
        <v>7.3200000000000001E-2</v>
      </c>
      <c r="I105" s="16"/>
      <c r="J105" s="51">
        <v>45293</v>
      </c>
      <c r="K105" s="48">
        <v>7.2099999999999997E-2</v>
      </c>
      <c r="L105" s="16"/>
      <c r="M105" s="51">
        <v>45659</v>
      </c>
      <c r="N105" s="48">
        <v>6.8199999999999997E-2</v>
      </c>
      <c r="O105" s="16"/>
      <c r="P105" s="16"/>
      <c r="Q105" s="51">
        <v>44197</v>
      </c>
      <c r="R105" s="49">
        <v>977.55</v>
      </c>
      <c r="S105" s="50">
        <v>19885.36</v>
      </c>
      <c r="T105" s="16">
        <f t="shared" ref="T105:U105" si="307">R105/R106-1</f>
        <v>4.6246338831508194E-3</v>
      </c>
      <c r="U105" s="16">
        <f t="shared" si="307"/>
        <v>2.6304391779639058E-3</v>
      </c>
      <c r="V105" s="16"/>
      <c r="W105" s="51">
        <v>44564</v>
      </c>
      <c r="X105" s="50">
        <v>1785.1</v>
      </c>
      <c r="Y105" s="50">
        <v>25298.63</v>
      </c>
      <c r="Z105" s="16">
        <f t="shared" ref="Z105:AA105" si="308">X105/X106-1</f>
        <v>-3.0437575046773357E-3</v>
      </c>
      <c r="AA105" s="16">
        <f t="shared" si="308"/>
        <v>1.5653962007667221E-2</v>
      </c>
      <c r="AB105" s="16"/>
      <c r="AC105" s="51">
        <v>44929</v>
      </c>
      <c r="AD105" s="50">
        <v>1024.05</v>
      </c>
      <c r="AE105" s="50">
        <v>26511.45</v>
      </c>
      <c r="AF105" s="16">
        <f t="shared" ref="AF105:AG105" si="309">AD105/AD106-1</f>
        <v>1.4413075780089102E-2</v>
      </c>
      <c r="AG105" s="16">
        <f t="shared" si="309"/>
        <v>1.9289194687459599E-3</v>
      </c>
      <c r="AH105" s="16"/>
      <c r="AI105" s="53">
        <v>45289</v>
      </c>
      <c r="AJ105" s="50">
        <v>1272.5999999999999</v>
      </c>
      <c r="AK105" s="50">
        <v>31619.360000000001</v>
      </c>
      <c r="AL105" s="16">
        <f t="shared" ref="AL105:AM105" si="310">AJ105/AJ106-1</f>
        <v>-1.0535318586479159E-2</v>
      </c>
      <c r="AM105" s="16">
        <f t="shared" si="310"/>
        <v>-6.8535402838659776E-3</v>
      </c>
      <c r="AN105" s="16"/>
      <c r="AO105" s="51">
        <v>45658</v>
      </c>
      <c r="AP105" s="50">
        <v>1704</v>
      </c>
      <c r="AQ105" s="50">
        <v>35964.43</v>
      </c>
      <c r="AR105" s="16">
        <f t="shared" ref="AR105:AS105" si="311">AP105/AP106-1</f>
        <v>-9.0879774852681283E-4</v>
      </c>
      <c r="AS105" s="16">
        <f t="shared" si="311"/>
        <v>1.8775337002852277E-2</v>
      </c>
    </row>
    <row r="106" spans="1:45" ht="15">
      <c r="A106" s="53">
        <v>44196</v>
      </c>
      <c r="B106" s="48">
        <v>5.8999999999999997E-2</v>
      </c>
      <c r="C106" s="16"/>
      <c r="D106" s="53">
        <v>44561</v>
      </c>
      <c r="E106" s="48">
        <v>6.4600000000000005E-2</v>
      </c>
      <c r="F106" s="16"/>
      <c r="G106" s="51">
        <v>44928</v>
      </c>
      <c r="H106" s="48">
        <v>7.3400000000000007E-2</v>
      </c>
      <c r="I106" s="16"/>
      <c r="J106" s="51">
        <v>45292</v>
      </c>
      <c r="K106" s="48">
        <v>7.1900000000000006E-2</v>
      </c>
      <c r="L106" s="16"/>
      <c r="M106" s="51">
        <v>45658</v>
      </c>
      <c r="N106" s="48">
        <v>6.8099999999999994E-2</v>
      </c>
      <c r="O106" s="16"/>
      <c r="P106" s="16"/>
      <c r="Q106" s="54">
        <v>44196</v>
      </c>
      <c r="R106" s="49">
        <v>973.05</v>
      </c>
      <c r="S106" s="50">
        <v>19833.189999999999</v>
      </c>
      <c r="T106" s="16">
        <f t="shared" ref="T106:U106" si="312">R106/R107-1</f>
        <v>-1.0021365347441247E-2</v>
      </c>
      <c r="U106" s="16">
        <f t="shared" si="312"/>
        <v>-1.7142687156579406E-5</v>
      </c>
      <c r="V106" s="16"/>
      <c r="W106" s="53">
        <v>44561</v>
      </c>
      <c r="X106" s="50">
        <v>1790.55</v>
      </c>
      <c r="Y106" s="50">
        <v>24908.71</v>
      </c>
      <c r="Z106" s="16">
        <f t="shared" ref="Z106:AA106" si="313">X106/X107-1</f>
        <v>-5.5538585432228782E-3</v>
      </c>
      <c r="AA106" s="16">
        <f t="shared" si="313"/>
        <v>8.7254614115193085E-3</v>
      </c>
      <c r="AB106" s="16"/>
      <c r="AC106" s="51">
        <v>44928</v>
      </c>
      <c r="AD106" s="50">
        <v>1009.5</v>
      </c>
      <c r="AE106" s="50">
        <v>26460.41</v>
      </c>
      <c r="AF106" s="16">
        <f t="shared" ref="AF106:AG106" si="314">AD106/AD107-1</f>
        <v>-6.88637481554355E-3</v>
      </c>
      <c r="AG106" s="16">
        <f t="shared" si="314"/>
        <v>5.0914729223967559E-3</v>
      </c>
      <c r="AH106" s="16"/>
      <c r="AI106" s="53">
        <v>45288</v>
      </c>
      <c r="AJ106" s="50">
        <v>1286.1500000000001</v>
      </c>
      <c r="AK106" s="50">
        <v>31837.56</v>
      </c>
      <c r="AL106" s="16">
        <f t="shared" ref="AL106:AM106" si="315">AJ106/AJ107-1</f>
        <v>4.6477112951102129E-3</v>
      </c>
      <c r="AM106" s="16">
        <f t="shared" si="315"/>
        <v>-3.4992876226628278E-3</v>
      </c>
      <c r="AN106" s="16"/>
      <c r="AO106" s="53">
        <v>45657</v>
      </c>
      <c r="AP106" s="50">
        <v>1705.55</v>
      </c>
      <c r="AQ106" s="50">
        <v>35301.629999999997</v>
      </c>
      <c r="AR106" s="16">
        <f t="shared" ref="AR106:AS106" si="316">AP106/AP107-1</f>
        <v>-2.3530758881287084E-2</v>
      </c>
      <c r="AS106" s="16">
        <f t="shared" si="316"/>
        <v>4.1489633138458437E-3</v>
      </c>
    </row>
    <row r="107" spans="1:45" ht="15">
      <c r="A107" s="53">
        <v>44195</v>
      </c>
      <c r="B107" s="48">
        <v>5.91E-2</v>
      </c>
      <c r="C107" s="16"/>
      <c r="D107" s="53">
        <v>44560</v>
      </c>
      <c r="E107" s="48">
        <v>6.4699999999999994E-2</v>
      </c>
      <c r="F107" s="16"/>
      <c r="G107" s="53">
        <v>44925</v>
      </c>
      <c r="H107" s="48">
        <v>7.3300000000000004E-2</v>
      </c>
      <c r="I107" s="16"/>
      <c r="J107" s="53">
        <v>45289</v>
      </c>
      <c r="K107" s="48">
        <v>7.1900000000000006E-2</v>
      </c>
      <c r="L107" s="16"/>
      <c r="M107" s="53">
        <v>45657</v>
      </c>
      <c r="N107" s="48">
        <v>6.7900000000000002E-2</v>
      </c>
      <c r="O107" s="16"/>
      <c r="P107" s="16"/>
      <c r="Q107" s="54">
        <v>44195</v>
      </c>
      <c r="R107" s="49">
        <v>982.9</v>
      </c>
      <c r="S107" s="50">
        <v>19833.53</v>
      </c>
      <c r="T107" s="16">
        <f t="shared" ref="T107:U107" si="317">R107/R108-1</f>
        <v>1.7758219000776565E-2</v>
      </c>
      <c r="U107" s="16">
        <f t="shared" si="317"/>
        <v>3.5428929375400653E-3</v>
      </c>
      <c r="V107" s="16"/>
      <c r="W107" s="53">
        <v>44560</v>
      </c>
      <c r="X107" s="50">
        <v>1800.55</v>
      </c>
      <c r="Y107" s="50">
        <v>24693.25</v>
      </c>
      <c r="Z107" s="16">
        <f t="shared" ref="Z107:AA107" si="318">X107/X108-1</f>
        <v>7.779923320180071E-3</v>
      </c>
      <c r="AA107" s="16">
        <f t="shared" si="318"/>
        <v>-5.605676101201329E-4</v>
      </c>
      <c r="AB107" s="16"/>
      <c r="AC107" s="53">
        <v>44925</v>
      </c>
      <c r="AD107" s="50">
        <v>1016.5</v>
      </c>
      <c r="AE107" s="50">
        <v>26326.37</v>
      </c>
      <c r="AF107" s="16">
        <f t="shared" ref="AF107:AG107" si="319">AD107/AD108-1</f>
        <v>2.8610891870559652E-3</v>
      </c>
      <c r="AG107" s="16">
        <f t="shared" si="319"/>
        <v>-4.7124836773780876E-3</v>
      </c>
      <c r="AH107" s="16"/>
      <c r="AI107" s="53">
        <v>45287</v>
      </c>
      <c r="AJ107" s="50">
        <v>1280.2</v>
      </c>
      <c r="AK107" s="50">
        <v>31949.360000000001</v>
      </c>
      <c r="AL107" s="16">
        <f t="shared" ref="AL107:AM107" si="320">AJ107/AJ108-1</f>
        <v>-7.4152128946658458E-4</v>
      </c>
      <c r="AM107" s="16">
        <f t="shared" si="320"/>
        <v>4.8318512629053068E-4</v>
      </c>
      <c r="AN107" s="16"/>
      <c r="AO107" s="53">
        <v>45656</v>
      </c>
      <c r="AP107" s="50">
        <v>1746.65</v>
      </c>
      <c r="AQ107" s="50">
        <v>35155.769999999997</v>
      </c>
      <c r="AR107" s="16">
        <f t="shared" ref="AR107:AS107" si="321">AP107/AP108-1</f>
        <v>2.0358686762472322E-2</v>
      </c>
      <c r="AS107" s="16">
        <f t="shared" si="321"/>
        <v>-4.8355981949743665E-6</v>
      </c>
    </row>
    <row r="108" spans="1:45" ht="15">
      <c r="A108" s="53">
        <v>44194</v>
      </c>
      <c r="B108" s="48">
        <v>5.9299999999999999E-2</v>
      </c>
      <c r="C108" s="16"/>
      <c r="D108" s="53">
        <v>44559</v>
      </c>
      <c r="E108" s="48">
        <v>6.4600000000000005E-2</v>
      </c>
      <c r="F108" s="16"/>
      <c r="G108" s="53">
        <v>44924</v>
      </c>
      <c r="H108" s="48">
        <v>7.3200000000000001E-2</v>
      </c>
      <c r="I108" s="16"/>
      <c r="J108" s="53">
        <v>45288</v>
      </c>
      <c r="K108" s="48">
        <v>7.2099999999999997E-2</v>
      </c>
      <c r="L108" s="16"/>
      <c r="M108" s="53">
        <v>45656</v>
      </c>
      <c r="N108" s="48">
        <v>6.8199999999999997E-2</v>
      </c>
      <c r="O108" s="16"/>
      <c r="P108" s="16"/>
      <c r="Q108" s="53">
        <v>44194</v>
      </c>
      <c r="R108" s="49">
        <v>965.75</v>
      </c>
      <c r="S108" s="50">
        <v>19763.509999999998</v>
      </c>
      <c r="T108" s="16">
        <f t="shared" ref="T108:U108" si="322">R108/R109-1</f>
        <v>1.9530219055159614E-2</v>
      </c>
      <c r="U108" s="16">
        <f t="shared" si="322"/>
        <v>4.2821775637675863E-3</v>
      </c>
      <c r="V108" s="16"/>
      <c r="W108" s="53">
        <v>44559</v>
      </c>
      <c r="X108" s="50">
        <v>1786.65</v>
      </c>
      <c r="Y108" s="50">
        <v>24707.1</v>
      </c>
      <c r="Z108" s="16">
        <f t="shared" ref="Z108:AA108" si="323">X108/X109-1</f>
        <v>-1.0851211072664291E-2</v>
      </c>
      <c r="AA108" s="16">
        <f t="shared" si="323"/>
        <v>-1.140878711090143E-3</v>
      </c>
      <c r="AB108" s="16"/>
      <c r="AC108" s="53">
        <v>44924</v>
      </c>
      <c r="AD108" s="50">
        <v>1013.6</v>
      </c>
      <c r="AE108" s="50">
        <v>26451.02</v>
      </c>
      <c r="AF108" s="16">
        <f t="shared" ref="AF108:AG108" si="324">AD108/AD109-1</f>
        <v>-2.4603877571105492E-3</v>
      </c>
      <c r="AG108" s="16">
        <f t="shared" si="324"/>
        <v>3.7804443027693591E-3</v>
      </c>
      <c r="AH108" s="16"/>
      <c r="AI108" s="53">
        <v>45286</v>
      </c>
      <c r="AJ108" s="50">
        <v>1281.1500000000001</v>
      </c>
      <c r="AK108" s="50">
        <v>31933.93</v>
      </c>
      <c r="AL108" s="16">
        <f t="shared" ref="AL108:AM108" si="325">AJ108/AJ109-1</f>
        <v>5.2177324440958461E-3</v>
      </c>
      <c r="AM108" s="16">
        <f t="shared" si="325"/>
        <v>-2.1728893773081959E-3</v>
      </c>
      <c r="AN108" s="16"/>
      <c r="AO108" s="53">
        <v>45653</v>
      </c>
      <c r="AP108" s="50">
        <v>1711.8</v>
      </c>
      <c r="AQ108" s="50">
        <v>35155.94</v>
      </c>
      <c r="AR108" s="16">
        <f t="shared" ref="AR108:AS108" si="326">AP108/AP109-1</f>
        <v>7.6228036613004146E-3</v>
      </c>
      <c r="AS108" s="16">
        <f t="shared" si="326"/>
        <v>-7.0766667137389661E-3</v>
      </c>
    </row>
    <row r="109" spans="1:45" ht="15">
      <c r="A109" s="53">
        <v>44193</v>
      </c>
      <c r="B109" s="48">
        <v>5.9299999999999999E-2</v>
      </c>
      <c r="C109" s="16"/>
      <c r="D109" s="53">
        <v>44558</v>
      </c>
      <c r="E109" s="48">
        <v>6.4799999999999996E-2</v>
      </c>
      <c r="F109" s="16"/>
      <c r="G109" s="53">
        <v>44923</v>
      </c>
      <c r="H109" s="48">
        <v>7.3200000000000001E-2</v>
      </c>
      <c r="I109" s="16"/>
      <c r="J109" s="53">
        <v>45287</v>
      </c>
      <c r="K109" s="48">
        <v>7.1999999999999995E-2</v>
      </c>
      <c r="L109" s="16"/>
      <c r="M109" s="53">
        <v>45653</v>
      </c>
      <c r="N109" s="48">
        <v>6.8400000000000002E-2</v>
      </c>
      <c r="O109" s="16"/>
      <c r="P109" s="16"/>
      <c r="Q109" s="53">
        <v>44193</v>
      </c>
      <c r="R109" s="49">
        <v>947.25</v>
      </c>
      <c r="S109" s="50">
        <v>19679.240000000002</v>
      </c>
      <c r="T109" s="16">
        <f t="shared" ref="T109:U109" si="327">R109/R110-1</f>
        <v>7.9239302694134039E-4</v>
      </c>
      <c r="U109" s="16">
        <f t="shared" si="327"/>
        <v>9.0158639006532315E-3</v>
      </c>
      <c r="V109" s="16"/>
      <c r="W109" s="53">
        <v>44558</v>
      </c>
      <c r="X109" s="50">
        <v>1806.25</v>
      </c>
      <c r="Y109" s="50">
        <v>24735.32</v>
      </c>
      <c r="Z109" s="16">
        <f t="shared" ref="Z109:AA109" si="328">X109/X110-1</f>
        <v>1.1961454423216944E-2</v>
      </c>
      <c r="AA109" s="16">
        <f t="shared" si="328"/>
        <v>8.602059340182544E-3</v>
      </c>
      <c r="AB109" s="16"/>
      <c r="AC109" s="53">
        <v>44923</v>
      </c>
      <c r="AD109" s="50">
        <v>1016.1</v>
      </c>
      <c r="AE109" s="50">
        <v>26351.4</v>
      </c>
      <c r="AF109" s="16">
        <f t="shared" ref="AF109:AG109" si="329">AD109/AD110-1</f>
        <v>5.9400059400058769E-3</v>
      </c>
      <c r="AG109" s="16">
        <f t="shared" si="329"/>
        <v>-5.4047596019823896E-4</v>
      </c>
      <c r="AH109" s="16"/>
      <c r="AI109" s="53">
        <v>45282</v>
      </c>
      <c r="AJ109" s="50">
        <v>1274.5</v>
      </c>
      <c r="AK109" s="50">
        <v>32003.47</v>
      </c>
      <c r="AL109" s="16">
        <f t="shared" ref="AL109:AM109" si="330">AJ109/AJ110-1</f>
        <v>1.9640785631425128E-2</v>
      </c>
      <c r="AM109" s="16">
        <f t="shared" si="330"/>
        <v>5.7244657746648997E-3</v>
      </c>
      <c r="AN109" s="16"/>
      <c r="AO109" s="53">
        <v>45652</v>
      </c>
      <c r="AP109" s="50">
        <v>1698.85</v>
      </c>
      <c r="AQ109" s="50">
        <v>35406.5</v>
      </c>
      <c r="AR109" s="16">
        <f t="shared" ref="AR109:AS109" si="331">AP109/AP110-1</f>
        <v>-4.3661724198558183E-3</v>
      </c>
      <c r="AS109" s="16">
        <f t="shared" si="331"/>
        <v>2.6619469026549769E-3</v>
      </c>
    </row>
    <row r="110" spans="1:45" ht="15">
      <c r="A110" s="53">
        <v>44189</v>
      </c>
      <c r="B110" s="48">
        <v>5.9799999999999999E-2</v>
      </c>
      <c r="C110" s="16"/>
      <c r="D110" s="53">
        <v>44557</v>
      </c>
      <c r="E110" s="48">
        <v>6.4699999999999994E-2</v>
      </c>
      <c r="F110" s="16"/>
      <c r="G110" s="53">
        <v>44922</v>
      </c>
      <c r="H110" s="48">
        <v>7.3099999999999998E-2</v>
      </c>
      <c r="I110" s="16"/>
      <c r="J110" s="53">
        <v>45286</v>
      </c>
      <c r="K110" s="48">
        <v>7.1900000000000006E-2</v>
      </c>
      <c r="L110" s="16"/>
      <c r="M110" s="53">
        <v>45652</v>
      </c>
      <c r="N110" s="48">
        <v>6.8099999999999994E-2</v>
      </c>
      <c r="O110" s="16"/>
      <c r="P110" s="16"/>
      <c r="Q110" s="53">
        <v>44189</v>
      </c>
      <c r="R110" s="49">
        <v>946.5</v>
      </c>
      <c r="S110" s="50">
        <v>19503.400000000001</v>
      </c>
      <c r="T110" s="16">
        <f t="shared" ref="T110:U110" si="332">R110/R111-1</f>
        <v>-1.5296165409568463E-3</v>
      </c>
      <c r="U110" s="16">
        <f t="shared" si="332"/>
        <v>1.0891886596666511E-2</v>
      </c>
      <c r="V110" s="16"/>
      <c r="W110" s="53">
        <v>44557</v>
      </c>
      <c r="X110" s="50">
        <v>1784.9</v>
      </c>
      <c r="Y110" s="50">
        <v>24524.36</v>
      </c>
      <c r="Z110" s="16">
        <f t="shared" ref="Z110:AA110" si="333">X110/X111-1</f>
        <v>3.5655226435347798E-2</v>
      </c>
      <c r="AA110" s="16">
        <f t="shared" si="333"/>
        <v>4.851274033064179E-3</v>
      </c>
      <c r="AB110" s="16"/>
      <c r="AC110" s="53">
        <v>44922</v>
      </c>
      <c r="AD110" s="50">
        <v>1010.1</v>
      </c>
      <c r="AE110" s="50">
        <v>26365.65</v>
      </c>
      <c r="AF110" s="16">
        <f t="shared" ref="AF110:AG110" si="334">AD110/AD111-1</f>
        <v>8.687837028160672E-3</v>
      </c>
      <c r="AG110" s="16">
        <f t="shared" si="334"/>
        <v>6.5330458431764882E-3</v>
      </c>
      <c r="AH110" s="16"/>
      <c r="AI110" s="53">
        <v>45281</v>
      </c>
      <c r="AJ110" s="50">
        <v>1249.95</v>
      </c>
      <c r="AK110" s="50">
        <v>31821.31</v>
      </c>
      <c r="AL110" s="16">
        <f t="shared" ref="AL110:AM110" si="335">AJ110/AJ111-1</f>
        <v>2.245118871025964E-3</v>
      </c>
      <c r="AM110" s="16">
        <f t="shared" si="335"/>
        <v>9.9537604946602354E-3</v>
      </c>
      <c r="AN110" s="16"/>
      <c r="AO110" s="53">
        <v>45650</v>
      </c>
      <c r="AP110" s="50">
        <v>1706.3</v>
      </c>
      <c r="AQ110" s="50">
        <v>35312.5</v>
      </c>
      <c r="AR110" s="16">
        <f t="shared" ref="AR110:AS110" si="336">AP110/AP111-1</f>
        <v>-4.2019258826963002E-3</v>
      </c>
      <c r="AS110" s="16">
        <f t="shared" si="336"/>
        <v>9.504245730529437E-4</v>
      </c>
    </row>
    <row r="111" spans="1:45" ht="15">
      <c r="A111" s="53">
        <v>44188</v>
      </c>
      <c r="B111" s="48">
        <v>5.9499999999999997E-2</v>
      </c>
      <c r="C111" s="16"/>
      <c r="D111" s="53">
        <v>44554</v>
      </c>
      <c r="E111" s="48">
        <v>4.4600000000000001E-2</v>
      </c>
      <c r="F111" s="16"/>
      <c r="G111" s="53">
        <v>44921</v>
      </c>
      <c r="H111" s="48">
        <v>7.3300000000000004E-2</v>
      </c>
      <c r="I111" s="16"/>
      <c r="J111" s="53">
        <v>45284</v>
      </c>
      <c r="K111" s="48">
        <v>7.1900000000000006E-2</v>
      </c>
      <c r="L111" s="16"/>
      <c r="M111" s="53">
        <v>45650</v>
      </c>
      <c r="N111" s="48">
        <v>6.8099999999999994E-2</v>
      </c>
      <c r="O111" s="16"/>
      <c r="P111" s="16"/>
      <c r="Q111" s="53">
        <v>44188</v>
      </c>
      <c r="R111" s="49">
        <v>947.95</v>
      </c>
      <c r="S111" s="50">
        <v>19293.259999999998</v>
      </c>
      <c r="T111" s="16">
        <f t="shared" ref="T111:U111" si="337">R111/R112-1</f>
        <v>3.8652970454304825E-3</v>
      </c>
      <c r="U111" s="16">
        <f t="shared" si="337"/>
        <v>1.0009391657234801E-2</v>
      </c>
      <c r="V111" s="16"/>
      <c r="W111" s="53">
        <v>44554</v>
      </c>
      <c r="X111" s="50">
        <v>1723.45</v>
      </c>
      <c r="Y111" s="50">
        <v>24405.96</v>
      </c>
      <c r="Z111" s="16">
        <f t="shared" ref="Z111:AA111" si="338">X111/X112-1</f>
        <v>2.3578322197475909E-2</v>
      </c>
      <c r="AA111" s="16">
        <f t="shared" si="338"/>
        <v>-4.0314632877299639E-3</v>
      </c>
      <c r="AB111" s="16"/>
      <c r="AC111" s="53">
        <v>44921</v>
      </c>
      <c r="AD111" s="50">
        <v>1001.4</v>
      </c>
      <c r="AE111" s="50">
        <v>26194.52</v>
      </c>
      <c r="AF111" s="16">
        <f t="shared" ref="AF111:AG111" si="339">AD111/AD112-1</f>
        <v>5.5731284832052363E-3</v>
      </c>
      <c r="AG111" s="16">
        <f t="shared" si="339"/>
        <v>1.1670242368885031E-2</v>
      </c>
      <c r="AH111" s="16"/>
      <c r="AI111" s="53">
        <v>45280</v>
      </c>
      <c r="AJ111" s="50">
        <v>1247.1500000000001</v>
      </c>
      <c r="AK111" s="50">
        <v>31507.69</v>
      </c>
      <c r="AL111" s="16">
        <f t="shared" ref="AL111:AM111" si="340">AJ111/AJ112-1</f>
        <v>-2.684249541570749E-2</v>
      </c>
      <c r="AM111" s="16">
        <f t="shared" si="340"/>
        <v>4.3059867527714957E-3</v>
      </c>
      <c r="AN111" s="16"/>
      <c r="AO111" s="53">
        <v>45649</v>
      </c>
      <c r="AP111" s="50">
        <v>1713.5</v>
      </c>
      <c r="AQ111" s="50">
        <v>35278.97</v>
      </c>
      <c r="AR111" s="16">
        <f t="shared" ref="AR111:AS111" si="341">AP111/AP112-1</f>
        <v>1.6793258960360768E-2</v>
      </c>
      <c r="AS111" s="16">
        <f t="shared" si="341"/>
        <v>-1.0870008403799369E-3</v>
      </c>
    </row>
    <row r="112" spans="1:45" ht="15">
      <c r="A112" s="53">
        <v>44187</v>
      </c>
      <c r="B112" s="48">
        <v>5.9499999999999997E-2</v>
      </c>
      <c r="C112" s="16"/>
      <c r="D112" s="53">
        <v>44553</v>
      </c>
      <c r="E112" s="48">
        <v>6.4000000000000001E-2</v>
      </c>
      <c r="F112" s="16"/>
      <c r="G112" s="53">
        <v>44918</v>
      </c>
      <c r="H112" s="48">
        <v>7.3200000000000001E-2</v>
      </c>
      <c r="I112" s="16"/>
      <c r="J112" s="53">
        <v>45282</v>
      </c>
      <c r="K112" s="48">
        <v>7.1900000000000006E-2</v>
      </c>
      <c r="L112" s="16"/>
      <c r="M112" s="53">
        <v>45649</v>
      </c>
      <c r="N112" s="48">
        <v>6.8099999999999994E-2</v>
      </c>
      <c r="O112" s="16"/>
      <c r="P112" s="16"/>
      <c r="Q112" s="53">
        <v>44187</v>
      </c>
      <c r="R112" s="49">
        <v>944.3</v>
      </c>
      <c r="S112" s="50">
        <v>19102.060000000001</v>
      </c>
      <c r="T112" s="16">
        <f t="shared" ref="T112:U112" si="342">R112/R113-1</f>
        <v>4.2043698962701326E-2</v>
      </c>
      <c r="U112" s="16">
        <f t="shared" si="342"/>
        <v>1.0346204602133202E-2</v>
      </c>
      <c r="V112" s="16"/>
      <c r="W112" s="53">
        <v>44553</v>
      </c>
      <c r="X112" s="50">
        <v>1683.75</v>
      </c>
      <c r="Y112" s="50">
        <v>24504.75</v>
      </c>
      <c r="Z112" s="16">
        <f t="shared" ref="Z112:AA112" si="343">X112/X113-1</f>
        <v>1.4429449331244681E-2</v>
      </c>
      <c r="AA112" s="16">
        <f t="shared" si="343"/>
        <v>6.9085189315525319E-3</v>
      </c>
      <c r="AB112" s="16"/>
      <c r="AC112" s="53">
        <v>44918</v>
      </c>
      <c r="AD112" s="49">
        <v>995.85</v>
      </c>
      <c r="AE112" s="50">
        <v>25892.35</v>
      </c>
      <c r="AF112" s="16">
        <f t="shared" ref="AF112:AG112" si="344">AD112/AD113-1</f>
        <v>-1.9205200177278781E-2</v>
      </c>
      <c r="AG112" s="16">
        <f t="shared" si="344"/>
        <v>-1.7682761195275565E-2</v>
      </c>
      <c r="AH112" s="16"/>
      <c r="AI112" s="53">
        <v>45279</v>
      </c>
      <c r="AJ112" s="50">
        <v>1281.55</v>
      </c>
      <c r="AK112" s="50">
        <v>31372.6</v>
      </c>
      <c r="AL112" s="16">
        <f t="shared" ref="AL112:AM112" si="345">AJ112/AJ113-1</f>
        <v>-7.7042198993418909E-3</v>
      </c>
      <c r="AM112" s="16">
        <f t="shared" si="345"/>
        <v>4.4397230831982881E-3</v>
      </c>
      <c r="AN112" s="16"/>
      <c r="AO112" s="53">
        <v>45646</v>
      </c>
      <c r="AP112" s="50">
        <v>1685.2</v>
      </c>
      <c r="AQ112" s="50">
        <v>35317.360000000001</v>
      </c>
      <c r="AR112" s="16">
        <f t="shared" ref="AR112:AS112" si="346">AP112/AP113-1</f>
        <v>-3.9717362812695889E-2</v>
      </c>
      <c r="AS112" s="16">
        <f t="shared" si="346"/>
        <v>7.0363800551973554E-3</v>
      </c>
    </row>
    <row r="113" spans="1:45" ht="15">
      <c r="A113" s="53">
        <v>44186</v>
      </c>
      <c r="B113" s="48">
        <v>5.96E-2</v>
      </c>
      <c r="C113" s="16"/>
      <c r="D113" s="53">
        <v>44552</v>
      </c>
      <c r="E113" s="48">
        <v>6.4199999999999993E-2</v>
      </c>
      <c r="F113" s="16"/>
      <c r="G113" s="53">
        <v>44917</v>
      </c>
      <c r="H113" s="48">
        <v>7.3200000000000001E-2</v>
      </c>
      <c r="I113" s="16"/>
      <c r="J113" s="53">
        <v>45281</v>
      </c>
      <c r="K113" s="48">
        <v>7.17E-2</v>
      </c>
      <c r="L113" s="16"/>
      <c r="M113" s="53">
        <v>45646</v>
      </c>
      <c r="N113" s="48">
        <v>6.8199999999999997E-2</v>
      </c>
      <c r="O113" s="16"/>
      <c r="P113" s="16"/>
      <c r="Q113" s="53">
        <v>44186</v>
      </c>
      <c r="R113" s="49">
        <v>906.2</v>
      </c>
      <c r="S113" s="50">
        <v>18906.45</v>
      </c>
      <c r="T113" s="16">
        <f t="shared" ref="T113:U113" si="347">R113/R114-1</f>
        <v>-2.908876627203083E-2</v>
      </c>
      <c r="U113" s="16">
        <f t="shared" si="347"/>
        <v>-3.1403084722804175E-2</v>
      </c>
      <c r="V113" s="16"/>
      <c r="W113" s="53">
        <v>44552</v>
      </c>
      <c r="X113" s="50">
        <v>1659.8</v>
      </c>
      <c r="Y113" s="50">
        <v>24336.62</v>
      </c>
      <c r="Z113" s="16">
        <f t="shared" ref="Z113:AA113" si="348">X113/X114-1</f>
        <v>1.4888868507138664E-2</v>
      </c>
      <c r="AA113" s="16">
        <f t="shared" si="348"/>
        <v>1.1338202061355274E-2</v>
      </c>
      <c r="AB113" s="16"/>
      <c r="AC113" s="53">
        <v>44917</v>
      </c>
      <c r="AD113" s="50">
        <v>1015.35</v>
      </c>
      <c r="AE113" s="50">
        <v>26358.44</v>
      </c>
      <c r="AF113" s="16">
        <f t="shared" ref="AF113:AG113" si="349">AD113/AD114-1</f>
        <v>-1.0283653377522239E-2</v>
      </c>
      <c r="AG113" s="16">
        <f t="shared" si="349"/>
        <v>-3.9425200007406902E-3</v>
      </c>
      <c r="AH113" s="16"/>
      <c r="AI113" s="53">
        <v>45278</v>
      </c>
      <c r="AJ113" s="50">
        <v>1291.5</v>
      </c>
      <c r="AK113" s="50">
        <v>31233.93</v>
      </c>
      <c r="AL113" s="16">
        <f t="shared" ref="AL113:AM113" si="350">AJ113/AJ114-1</f>
        <v>-9.9275556748055216E-3</v>
      </c>
      <c r="AM113" s="16">
        <f t="shared" si="350"/>
        <v>4.9604630151585116E-3</v>
      </c>
      <c r="AN113" s="16"/>
      <c r="AO113" s="53">
        <v>45645</v>
      </c>
      <c r="AP113" s="50">
        <v>1754.9</v>
      </c>
      <c r="AQ113" s="50">
        <v>35070.589999999997</v>
      </c>
      <c r="AR113" s="16">
        <f t="shared" ref="AR113:AS113" si="351">AP113/AP114-1</f>
        <v>-1.3158634651071144E-2</v>
      </c>
      <c r="AS113" s="16">
        <f t="shared" si="351"/>
        <v>-1.5206063330704178E-2</v>
      </c>
    </row>
    <row r="114" spans="1:45" ht="15">
      <c r="A114" s="53">
        <v>44183</v>
      </c>
      <c r="B114" s="48">
        <v>5.96E-2</v>
      </c>
      <c r="C114" s="16"/>
      <c r="D114" s="53">
        <v>44551</v>
      </c>
      <c r="E114" s="48">
        <v>6.4000000000000001E-2</v>
      </c>
      <c r="F114" s="16"/>
      <c r="G114" s="53">
        <v>44916</v>
      </c>
      <c r="H114" s="48">
        <v>7.2900000000000006E-2</v>
      </c>
      <c r="I114" s="16"/>
      <c r="J114" s="53">
        <v>45280</v>
      </c>
      <c r="K114" s="48">
        <v>7.17E-2</v>
      </c>
      <c r="L114" s="16"/>
      <c r="M114" s="53">
        <v>45645</v>
      </c>
      <c r="N114" s="48">
        <v>6.83E-2</v>
      </c>
      <c r="O114" s="16"/>
      <c r="P114" s="16"/>
      <c r="Q114" s="53">
        <v>44183</v>
      </c>
      <c r="R114" s="49">
        <v>933.35</v>
      </c>
      <c r="S114" s="50">
        <v>19519.419999999998</v>
      </c>
      <c r="T114" s="16">
        <f t="shared" ref="T114:U114" si="352">R114/R115-1</f>
        <v>3.9799924702845768E-3</v>
      </c>
      <c r="U114" s="16">
        <f t="shared" si="352"/>
        <v>1.4426949459502847E-3</v>
      </c>
      <c r="V114" s="16"/>
      <c r="W114" s="53">
        <v>44551</v>
      </c>
      <c r="X114" s="50">
        <v>1635.45</v>
      </c>
      <c r="Y114" s="50">
        <v>24063.78</v>
      </c>
      <c r="Z114" s="16">
        <f t="shared" ref="Z114:AA114" si="353">X114/X115-1</f>
        <v>2.292344258193646E-2</v>
      </c>
      <c r="AA114" s="16">
        <f t="shared" si="353"/>
        <v>9.4286633547282506E-3</v>
      </c>
      <c r="AB114" s="16"/>
      <c r="AC114" s="53">
        <v>44916</v>
      </c>
      <c r="AD114" s="50">
        <v>1025.9000000000001</v>
      </c>
      <c r="AE114" s="50">
        <v>26462.77</v>
      </c>
      <c r="AF114" s="16">
        <f t="shared" ref="AF114:AG114" si="354">AD114/AD115-1</f>
        <v>7.5128897618463863E-3</v>
      </c>
      <c r="AG114" s="16">
        <f t="shared" si="354"/>
        <v>-1.0127364494972757E-2</v>
      </c>
      <c r="AH114" s="16"/>
      <c r="AI114" s="53">
        <v>45275</v>
      </c>
      <c r="AJ114" s="50">
        <v>1304.45</v>
      </c>
      <c r="AK114" s="50">
        <v>31079.759999999998</v>
      </c>
      <c r="AL114" s="16">
        <f t="shared" ref="AL114:AM114" si="355">AJ114/AJ115-1</f>
        <v>3.2001582278481155E-2</v>
      </c>
      <c r="AM114" s="16">
        <f t="shared" si="355"/>
        <v>-1.4123394131641653E-2</v>
      </c>
      <c r="AN114" s="16"/>
      <c r="AO114" s="53">
        <v>45644</v>
      </c>
      <c r="AP114" s="50">
        <v>1778.3</v>
      </c>
      <c r="AQ114" s="50">
        <v>35612.11</v>
      </c>
      <c r="AR114" s="16">
        <f t="shared" ref="AR114:AS114" si="356">AP114/AP115-1</f>
        <v>4.8028025765622928E-3</v>
      </c>
      <c r="AS114" s="16">
        <f t="shared" si="356"/>
        <v>-1.0213293206869034E-2</v>
      </c>
    </row>
    <row r="115" spans="1:45" ht="15">
      <c r="A115" s="53">
        <v>44182</v>
      </c>
      <c r="B115" s="48">
        <v>5.9499999999999997E-2</v>
      </c>
      <c r="C115" s="16"/>
      <c r="D115" s="53">
        <v>44550</v>
      </c>
      <c r="E115" s="48">
        <v>6.3600000000000004E-2</v>
      </c>
      <c r="F115" s="16"/>
      <c r="G115" s="53">
        <v>44915</v>
      </c>
      <c r="H115" s="48">
        <v>7.3099999999999998E-2</v>
      </c>
      <c r="I115" s="16"/>
      <c r="J115" s="53">
        <v>45279</v>
      </c>
      <c r="K115" s="48">
        <v>7.1599999999999997E-2</v>
      </c>
      <c r="L115" s="16"/>
      <c r="M115" s="53">
        <v>45644</v>
      </c>
      <c r="N115" s="48">
        <v>6.7900000000000002E-2</v>
      </c>
      <c r="O115" s="16"/>
      <c r="P115" s="16"/>
      <c r="Q115" s="53">
        <v>44182</v>
      </c>
      <c r="R115" s="49">
        <v>929.65</v>
      </c>
      <c r="S115" s="50">
        <v>19491.3</v>
      </c>
      <c r="T115" s="16">
        <f t="shared" ref="T115:U115" si="357">R115/R116-1</f>
        <v>8.2425031180521913E-3</v>
      </c>
      <c r="U115" s="16">
        <f t="shared" si="357"/>
        <v>4.4576599604222444E-3</v>
      </c>
      <c r="V115" s="16"/>
      <c r="W115" s="53">
        <v>44550</v>
      </c>
      <c r="X115" s="50">
        <v>1598.8</v>
      </c>
      <c r="Y115" s="50">
        <v>23839.01</v>
      </c>
      <c r="Z115" s="16">
        <f t="shared" ref="Z115:AA115" si="358">X115/X116-1</f>
        <v>-2.6250076131311362E-2</v>
      </c>
      <c r="AA115" s="16">
        <f t="shared" si="358"/>
        <v>-2.1843663281957526E-2</v>
      </c>
      <c r="AB115" s="16"/>
      <c r="AC115" s="53">
        <v>44915</v>
      </c>
      <c r="AD115" s="50">
        <v>1018.25</v>
      </c>
      <c r="AE115" s="50">
        <v>26733.51</v>
      </c>
      <c r="AF115" s="16">
        <f t="shared" ref="AF115:AG115" si="359">AD115/AD116-1</f>
        <v>-7.8920446241534936E-3</v>
      </c>
      <c r="AG115" s="16">
        <f t="shared" si="359"/>
        <v>-1.9104204343677322E-3</v>
      </c>
      <c r="AH115" s="16"/>
      <c r="AI115" s="53">
        <v>45274</v>
      </c>
      <c r="AJ115" s="50">
        <v>1264</v>
      </c>
      <c r="AK115" s="50">
        <v>31525</v>
      </c>
      <c r="AL115" s="16">
        <f t="shared" ref="AL115:AM115" si="360">AJ115/AJ116-1</f>
        <v>3.9089152862838539E-2</v>
      </c>
      <c r="AM115" s="16">
        <f t="shared" si="360"/>
        <v>1.6092468946937721E-3</v>
      </c>
      <c r="AN115" s="16"/>
      <c r="AO115" s="53">
        <v>45643</v>
      </c>
      <c r="AP115" s="50">
        <v>1769.8</v>
      </c>
      <c r="AQ115" s="50">
        <v>35979.58</v>
      </c>
      <c r="AR115" s="16">
        <f t="shared" ref="AR115:AS115" si="361">AP115/AP116-1</f>
        <v>-3.8275357424293333E-3</v>
      </c>
      <c r="AS115" s="16">
        <f t="shared" si="361"/>
        <v>-5.6365423716259189E-3</v>
      </c>
    </row>
    <row r="116" spans="1:45" ht="15">
      <c r="A116" s="53">
        <v>44181</v>
      </c>
      <c r="B116" s="48">
        <v>5.9499999999999997E-2</v>
      </c>
      <c r="C116" s="16"/>
      <c r="D116" s="53">
        <v>44547</v>
      </c>
      <c r="E116" s="48">
        <v>6.3299999999999995E-2</v>
      </c>
      <c r="F116" s="16"/>
      <c r="G116" s="53">
        <v>44914</v>
      </c>
      <c r="H116" s="48">
        <v>7.2999999999999995E-2</v>
      </c>
      <c r="I116" s="16"/>
      <c r="J116" s="53">
        <v>45278</v>
      </c>
      <c r="K116" s="48">
        <v>7.1599999999999997E-2</v>
      </c>
      <c r="L116" s="16"/>
      <c r="M116" s="53">
        <v>45643</v>
      </c>
      <c r="N116" s="48">
        <v>6.8000000000000005E-2</v>
      </c>
      <c r="O116" s="16"/>
      <c r="P116" s="16"/>
      <c r="Q116" s="53">
        <v>44181</v>
      </c>
      <c r="R116" s="49">
        <v>922.05</v>
      </c>
      <c r="S116" s="50">
        <v>19404.8</v>
      </c>
      <c r="T116" s="16">
        <f t="shared" ref="T116:U116" si="362">R116/R117-1</f>
        <v>-5.3398058252427383E-3</v>
      </c>
      <c r="U116" s="16">
        <f t="shared" si="362"/>
        <v>8.4658999371163279E-3</v>
      </c>
      <c r="V116" s="16"/>
      <c r="W116" s="53">
        <v>44547</v>
      </c>
      <c r="X116" s="50">
        <v>1641.9</v>
      </c>
      <c r="Y116" s="50">
        <v>24371.37</v>
      </c>
      <c r="Z116" s="16">
        <f t="shared" ref="Z116:AA116" si="363">X116/X117-1</f>
        <v>-6.474646012344043E-3</v>
      </c>
      <c r="AA116" s="16">
        <f t="shared" si="363"/>
        <v>-1.5258792169868585E-2</v>
      </c>
      <c r="AB116" s="16"/>
      <c r="AC116" s="53">
        <v>44914</v>
      </c>
      <c r="AD116" s="50">
        <v>1026.3499999999999</v>
      </c>
      <c r="AE116" s="50">
        <v>26784.68</v>
      </c>
      <c r="AF116" s="16">
        <f t="shared" ref="AF116:AG116" si="364">AD116/AD117-1</f>
        <v>5.3876671401282827E-3</v>
      </c>
      <c r="AG116" s="16">
        <f t="shared" si="364"/>
        <v>8.2900235879066475E-3</v>
      </c>
      <c r="AH116" s="16"/>
      <c r="AI116" s="53">
        <v>45273</v>
      </c>
      <c r="AJ116" s="50">
        <v>1216.45</v>
      </c>
      <c r="AK116" s="50">
        <v>31474.35</v>
      </c>
      <c r="AL116" s="16">
        <f t="shared" ref="AL116:AM116" si="365">AJ116/AJ117-1</f>
        <v>-7.9109407495004946E-3</v>
      </c>
      <c r="AM116" s="16">
        <f t="shared" si="365"/>
        <v>-1.7710010627909334E-3</v>
      </c>
      <c r="AN116" s="16"/>
      <c r="AO116" s="53">
        <v>45642</v>
      </c>
      <c r="AP116" s="50">
        <v>1776.6</v>
      </c>
      <c r="AQ116" s="50">
        <v>36183.53</v>
      </c>
      <c r="AR116" s="16">
        <f t="shared" ref="AR116:AS116" si="366">AP116/AP117-1</f>
        <v>-1.1077094350125272E-2</v>
      </c>
      <c r="AS116" s="16">
        <f t="shared" si="366"/>
        <v>-1.346739198003799E-2</v>
      </c>
    </row>
    <row r="117" spans="1:45" ht="15">
      <c r="A117" s="53">
        <v>44180</v>
      </c>
      <c r="B117" s="48">
        <v>5.9400000000000001E-2</v>
      </c>
      <c r="C117" s="16"/>
      <c r="D117" s="53">
        <v>44546</v>
      </c>
      <c r="E117" s="48">
        <v>6.3100000000000003E-2</v>
      </c>
      <c r="F117" s="16"/>
      <c r="G117" s="53">
        <v>44911</v>
      </c>
      <c r="H117" s="48">
        <v>7.2800000000000004E-2</v>
      </c>
      <c r="I117" s="16"/>
      <c r="J117" s="53">
        <v>45275</v>
      </c>
      <c r="K117" s="48">
        <v>7.17E-2</v>
      </c>
      <c r="L117" s="16"/>
      <c r="M117" s="53">
        <v>45642</v>
      </c>
      <c r="N117" s="48">
        <v>6.7799999999999999E-2</v>
      </c>
      <c r="O117" s="16"/>
      <c r="P117" s="16"/>
      <c r="Q117" s="53">
        <v>44180</v>
      </c>
      <c r="R117" s="49">
        <v>927</v>
      </c>
      <c r="S117" s="50">
        <v>19241.900000000001</v>
      </c>
      <c r="T117" s="16">
        <f t="shared" ref="T117:U117" si="367">R117/R118-1</f>
        <v>2.0307082714215108E-2</v>
      </c>
      <c r="U117" s="16">
        <f t="shared" si="367"/>
        <v>7.145769538012825E-4</v>
      </c>
      <c r="V117" s="16"/>
      <c r="W117" s="53">
        <v>44546</v>
      </c>
      <c r="X117" s="50">
        <v>1652.6</v>
      </c>
      <c r="Y117" s="50">
        <v>24749.01</v>
      </c>
      <c r="Z117" s="16">
        <f t="shared" ref="Z117:AA117" si="368">X117/X118-1</f>
        <v>6.455542021924332E-3</v>
      </c>
      <c r="AA117" s="16">
        <f t="shared" si="368"/>
        <v>1.5665532186981412E-3</v>
      </c>
      <c r="AB117" s="16"/>
      <c r="AC117" s="53">
        <v>44911</v>
      </c>
      <c r="AD117" s="50">
        <v>1020.85</v>
      </c>
      <c r="AE117" s="50">
        <v>26564.46</v>
      </c>
      <c r="AF117" s="16">
        <f t="shared" ref="AF117:AG117" si="369">AD117/AD118-1</f>
        <v>-1.8089371272123067E-3</v>
      </c>
      <c r="AG117" s="16">
        <f t="shared" si="369"/>
        <v>-7.9211071175685488E-3</v>
      </c>
      <c r="AH117" s="16"/>
      <c r="AI117" s="55">
        <v>45272</v>
      </c>
      <c r="AJ117" s="50">
        <v>1226.1500000000001</v>
      </c>
      <c r="AK117" s="50">
        <v>31530.19</v>
      </c>
      <c r="AL117" s="16">
        <f t="shared" ref="AL117:AM117" si="370">AJ117/AJ118-1</f>
        <v>-5.4748965852867704E-3</v>
      </c>
      <c r="AM117" s="16">
        <f t="shared" si="370"/>
        <v>1.2933538081959517E-2</v>
      </c>
      <c r="AN117" s="16"/>
      <c r="AO117" s="53">
        <v>45639</v>
      </c>
      <c r="AP117" s="50">
        <v>1796.5</v>
      </c>
      <c r="AQ117" s="50">
        <v>36677.480000000003</v>
      </c>
      <c r="AR117" s="16">
        <f t="shared" ref="AR117:AS117" si="371">AP117/AP118-1</f>
        <v>3.7714764631930908E-3</v>
      </c>
      <c r="AS117" s="16">
        <f t="shared" si="371"/>
        <v>-4.0403223025300417E-3</v>
      </c>
    </row>
    <row r="118" spans="1:45" ht="15">
      <c r="A118" s="53">
        <v>44179</v>
      </c>
      <c r="B118" s="48">
        <v>5.9499999999999997E-2</v>
      </c>
      <c r="C118" s="16"/>
      <c r="D118" s="53">
        <v>44545</v>
      </c>
      <c r="E118" s="48">
        <v>6.3100000000000003E-2</v>
      </c>
      <c r="F118" s="16"/>
      <c r="G118" s="53">
        <v>44910</v>
      </c>
      <c r="H118" s="48">
        <v>7.2700000000000001E-2</v>
      </c>
      <c r="I118" s="16"/>
      <c r="J118" s="53">
        <v>45274</v>
      </c>
      <c r="K118" s="48">
        <v>7.1900000000000006E-2</v>
      </c>
      <c r="L118" s="16"/>
      <c r="M118" s="53">
        <v>45639</v>
      </c>
      <c r="N118" s="48">
        <v>6.7900000000000002E-2</v>
      </c>
      <c r="O118" s="16"/>
      <c r="P118" s="16"/>
      <c r="Q118" s="53">
        <v>44179</v>
      </c>
      <c r="R118" s="49">
        <v>908.55</v>
      </c>
      <c r="S118" s="50">
        <v>19228.16</v>
      </c>
      <c r="T118" s="16">
        <f t="shared" ref="T118:U118" si="372">R118/R119-1</f>
        <v>-1.1371055495103422E-2</v>
      </c>
      <c r="U118" s="16">
        <f t="shared" si="372"/>
        <v>3.278315583399749E-3</v>
      </c>
      <c r="V118" s="16"/>
      <c r="W118" s="53">
        <v>44545</v>
      </c>
      <c r="X118" s="50">
        <v>1642</v>
      </c>
      <c r="Y118" s="50">
        <v>24710.3</v>
      </c>
      <c r="Z118" s="16">
        <f t="shared" ref="Z118:AA118" si="373">X118/X119-1</f>
        <v>-6.9987523963122023E-4</v>
      </c>
      <c r="AA118" s="16">
        <f t="shared" si="373"/>
        <v>-5.9733398125975112E-3</v>
      </c>
      <c r="AB118" s="16"/>
      <c r="AC118" s="53">
        <v>44910</v>
      </c>
      <c r="AD118" s="50">
        <v>1022.7</v>
      </c>
      <c r="AE118" s="50">
        <v>26776.560000000001</v>
      </c>
      <c r="AF118" s="16">
        <f t="shared" ref="AF118:AG118" si="374">AD118/AD119-1</f>
        <v>-3.9763391390075453E-2</v>
      </c>
      <c r="AG118" s="16">
        <f t="shared" si="374"/>
        <v>-1.3151319038528175E-2</v>
      </c>
      <c r="AH118" s="16"/>
      <c r="AI118" s="55">
        <v>45271</v>
      </c>
      <c r="AJ118" s="50">
        <v>1232.9000000000001</v>
      </c>
      <c r="AK118" s="50">
        <v>31127.599999999999</v>
      </c>
      <c r="AL118" s="16">
        <f t="shared" ref="AL118:AM118" si="375">AJ118/AJ119-1</f>
        <v>5.9152286541834798E-3</v>
      </c>
      <c r="AM118" s="16">
        <f t="shared" si="375"/>
        <v>1.2248402081886933E-2</v>
      </c>
      <c r="AN118" s="16"/>
      <c r="AO118" s="55">
        <v>45638</v>
      </c>
      <c r="AP118" s="50">
        <v>1789.75</v>
      </c>
      <c r="AQ118" s="50">
        <v>36826.269999999997</v>
      </c>
      <c r="AR118" s="16">
        <f t="shared" ref="AR118:AS118" si="376">AP118/AP119-1</f>
        <v>1.6672347193819492E-2</v>
      </c>
      <c r="AS118" s="16">
        <f t="shared" si="376"/>
        <v>8.9458146973608876E-3</v>
      </c>
    </row>
    <row r="119" spans="1:45" ht="15">
      <c r="A119" s="55">
        <v>44176</v>
      </c>
      <c r="B119" s="48">
        <v>5.96E-2</v>
      </c>
      <c r="C119" s="16"/>
      <c r="D119" s="53">
        <v>44544</v>
      </c>
      <c r="E119" s="48">
        <v>6.2899999999999998E-2</v>
      </c>
      <c r="F119" s="16"/>
      <c r="G119" s="53">
        <v>44909</v>
      </c>
      <c r="H119" s="48">
        <v>7.2300000000000003E-2</v>
      </c>
      <c r="I119" s="16"/>
      <c r="J119" s="53">
        <v>45273</v>
      </c>
      <c r="K119" s="48">
        <v>7.2700000000000001E-2</v>
      </c>
      <c r="L119" s="16"/>
      <c r="M119" s="55">
        <v>45638</v>
      </c>
      <c r="N119" s="48">
        <v>6.7699999999999996E-2</v>
      </c>
      <c r="O119" s="16"/>
      <c r="P119" s="16"/>
      <c r="Q119" s="56">
        <v>44176</v>
      </c>
      <c r="R119" s="49">
        <v>919</v>
      </c>
      <c r="S119" s="50">
        <v>19165.330000000002</v>
      </c>
      <c r="T119" s="16">
        <f t="shared" ref="T119:U119" si="377">R119/R120-1</f>
        <v>-9.4314201023982802E-3</v>
      </c>
      <c r="U119" s="16">
        <f t="shared" si="377"/>
        <v>2.6351088362206454E-3</v>
      </c>
      <c r="V119" s="16"/>
      <c r="W119" s="53">
        <v>44544</v>
      </c>
      <c r="X119" s="50">
        <v>1643.15</v>
      </c>
      <c r="Y119" s="50">
        <v>24858.79</v>
      </c>
      <c r="Z119" s="16">
        <f t="shared" ref="Z119:AA119" si="378">X119/X120-1</f>
        <v>3.2359495680314154E-3</v>
      </c>
      <c r="AA119" s="16">
        <f t="shared" si="378"/>
        <v>-2.4970888029463012E-3</v>
      </c>
      <c r="AB119" s="16"/>
      <c r="AC119" s="53">
        <v>44909</v>
      </c>
      <c r="AD119" s="50">
        <v>1065.05</v>
      </c>
      <c r="AE119" s="50">
        <v>27133.4</v>
      </c>
      <c r="AF119" s="16">
        <f t="shared" ref="AF119:AG119" si="379">AD119/AD120-1</f>
        <v>1.8406961178045522E-2</v>
      </c>
      <c r="AG119" s="16">
        <f t="shared" si="379"/>
        <v>2.8106965390182204E-3</v>
      </c>
      <c r="AH119" s="16"/>
      <c r="AI119" s="51">
        <v>45268</v>
      </c>
      <c r="AJ119" s="50">
        <v>1225.6500000000001</v>
      </c>
      <c r="AK119" s="50">
        <v>30750.95</v>
      </c>
      <c r="AL119" s="16">
        <f t="shared" ref="AL119:AM119" si="380">AJ119/AJ120-1</f>
        <v>1.9210332706613986E-3</v>
      </c>
      <c r="AM119" s="16">
        <f t="shared" si="380"/>
        <v>9.556797027758801E-4</v>
      </c>
      <c r="AN119" s="16"/>
      <c r="AO119" s="55">
        <v>45637</v>
      </c>
      <c r="AP119" s="50">
        <v>1760.4</v>
      </c>
      <c r="AQ119" s="50">
        <v>36499.75</v>
      </c>
      <c r="AR119" s="16">
        <f t="shared" ref="AR119:AS119" si="381">AP119/AP120-1</f>
        <v>-1.7578678763821021E-3</v>
      </c>
      <c r="AS119" s="16">
        <f t="shared" si="381"/>
        <v>-3.7772113977401212E-3</v>
      </c>
    </row>
    <row r="120" spans="1:45" ht="15">
      <c r="A120" s="55">
        <v>44175</v>
      </c>
      <c r="B120" s="48">
        <v>5.9200000000000003E-2</v>
      </c>
      <c r="C120" s="16"/>
      <c r="D120" s="53">
        <v>44543</v>
      </c>
      <c r="E120" s="48">
        <v>6.3E-2</v>
      </c>
      <c r="F120" s="16"/>
      <c r="G120" s="53">
        <v>44908</v>
      </c>
      <c r="H120" s="48">
        <v>7.2700000000000001E-2</v>
      </c>
      <c r="I120" s="16"/>
      <c r="J120" s="55">
        <v>45272</v>
      </c>
      <c r="K120" s="48">
        <v>7.2700000000000001E-2</v>
      </c>
      <c r="L120" s="16"/>
      <c r="M120" s="55">
        <v>45637</v>
      </c>
      <c r="N120" s="48">
        <v>6.7599999999999993E-2</v>
      </c>
      <c r="O120" s="16"/>
      <c r="P120" s="16"/>
      <c r="Q120" s="55">
        <v>44175</v>
      </c>
      <c r="R120" s="49">
        <v>927.75</v>
      </c>
      <c r="S120" s="50">
        <v>19114.96</v>
      </c>
      <c r="T120" s="16">
        <f t="shared" ref="T120:U120" si="382">R120/R121-1</f>
        <v>-1.560482135170127E-3</v>
      </c>
      <c r="U120" s="16">
        <f t="shared" si="382"/>
        <v>-3.7520293741319932E-3</v>
      </c>
      <c r="V120" s="16"/>
      <c r="W120" s="53">
        <v>44543</v>
      </c>
      <c r="X120" s="50">
        <v>1637.85</v>
      </c>
      <c r="Y120" s="50">
        <v>24921.02</v>
      </c>
      <c r="Z120" s="16">
        <f t="shared" ref="Z120:AA120" si="383">X120/X121-1</f>
        <v>2.1995507300636374E-2</v>
      </c>
      <c r="AA120" s="16">
        <f t="shared" si="383"/>
        <v>-8.1675571036494699E-3</v>
      </c>
      <c r="AB120" s="16"/>
      <c r="AC120" s="53">
        <v>44908</v>
      </c>
      <c r="AD120" s="50">
        <v>1045.8</v>
      </c>
      <c r="AE120" s="50">
        <v>27057.35</v>
      </c>
      <c r="AF120" s="16">
        <f t="shared" ref="AF120:AG120" si="384">AD120/AD121-1</f>
        <v>1.3372093023255704E-2</v>
      </c>
      <c r="AG120" s="16">
        <f t="shared" si="384"/>
        <v>5.9911786827957503E-3</v>
      </c>
      <c r="AH120" s="16"/>
      <c r="AI120" s="51">
        <v>45267</v>
      </c>
      <c r="AJ120" s="50">
        <v>1223.3</v>
      </c>
      <c r="AK120" s="50">
        <v>30721.59</v>
      </c>
      <c r="AL120" s="16">
        <f t="shared" ref="AL120:AM120" si="385">AJ120/AJ121-1</f>
        <v>-1.7544575462076217E-3</v>
      </c>
      <c r="AM120" s="16">
        <f t="shared" si="385"/>
        <v>-4.3205455211328125E-3</v>
      </c>
      <c r="AN120" s="16"/>
      <c r="AO120" s="55">
        <v>45636</v>
      </c>
      <c r="AP120" s="50">
        <v>1763.5</v>
      </c>
      <c r="AQ120" s="50">
        <v>36638.14</v>
      </c>
      <c r="AR120" s="16">
        <f t="shared" ref="AR120:AS120" si="386">AP120/AP121-1</f>
        <v>-7.9041377176450878E-3</v>
      </c>
      <c r="AS120" s="16">
        <f t="shared" si="386"/>
        <v>1.2888422228647389E-3</v>
      </c>
    </row>
    <row r="121" spans="1:45" ht="15">
      <c r="A121" s="51">
        <v>44174</v>
      </c>
      <c r="B121" s="48">
        <v>5.9200000000000003E-2</v>
      </c>
      <c r="C121" s="16"/>
      <c r="D121" s="55">
        <v>44540</v>
      </c>
      <c r="E121" s="48">
        <v>6.3E-2</v>
      </c>
      <c r="F121" s="16"/>
      <c r="G121" s="55">
        <v>44907</v>
      </c>
      <c r="H121" s="48">
        <v>7.2999999999999995E-2</v>
      </c>
      <c r="I121" s="16"/>
      <c r="J121" s="55">
        <v>45271</v>
      </c>
      <c r="K121" s="48">
        <v>7.2800000000000004E-2</v>
      </c>
      <c r="L121" s="16"/>
      <c r="M121" s="55">
        <v>45636</v>
      </c>
      <c r="N121" s="48">
        <v>6.7500000000000004E-2</v>
      </c>
      <c r="O121" s="16"/>
      <c r="P121" s="16"/>
      <c r="Q121" s="55">
        <v>44174</v>
      </c>
      <c r="R121" s="49">
        <v>929.2</v>
      </c>
      <c r="S121" s="50">
        <v>19186.95</v>
      </c>
      <c r="T121" s="16">
        <f t="shared" ref="T121:U121" si="387">R121/R122-1</f>
        <v>-2.7902983472847254E-3</v>
      </c>
      <c r="U121" s="16">
        <f t="shared" si="387"/>
        <v>1.0165916775210615E-2</v>
      </c>
      <c r="V121" s="16"/>
      <c r="W121" s="55">
        <v>44540</v>
      </c>
      <c r="X121" s="50">
        <v>1602.6</v>
      </c>
      <c r="Y121" s="50">
        <v>25126.240000000002</v>
      </c>
      <c r="Z121" s="16">
        <f t="shared" ref="Z121:AA121" si="388">X121/X122-1</f>
        <v>-5.3993669707689262E-3</v>
      </c>
      <c r="AA121" s="16">
        <f t="shared" si="388"/>
        <v>-3.1789316800223677E-4</v>
      </c>
      <c r="AB121" s="16"/>
      <c r="AC121" s="55">
        <v>44907</v>
      </c>
      <c r="AD121" s="50">
        <v>1032</v>
      </c>
      <c r="AE121" s="50">
        <v>26896.21</v>
      </c>
      <c r="AF121" s="16">
        <f t="shared" ref="AF121:AG121" si="389">AD121/AD122-1</f>
        <v>-3.3800096571704463E-3</v>
      </c>
      <c r="AG121" s="16">
        <f t="shared" si="389"/>
        <v>3.1975787636140396E-5</v>
      </c>
      <c r="AH121" s="16"/>
      <c r="AI121" s="51">
        <v>45266</v>
      </c>
      <c r="AJ121" s="50">
        <v>1225.45</v>
      </c>
      <c r="AK121" s="50">
        <v>30854.9</v>
      </c>
      <c r="AL121" s="16">
        <f t="shared" ref="AL121:AM121" si="390">AJ121/AJ122-1</f>
        <v>4.2614218397869497E-3</v>
      </c>
      <c r="AM121" s="16">
        <f t="shared" si="390"/>
        <v>1.322444396486766E-3</v>
      </c>
      <c r="AN121" s="16"/>
      <c r="AO121" s="51">
        <v>45635</v>
      </c>
      <c r="AP121" s="50">
        <v>1777.55</v>
      </c>
      <c r="AQ121" s="50">
        <v>36590.980000000003</v>
      </c>
      <c r="AR121" s="16">
        <f t="shared" ref="AR121:AS121" si="391">AP121/AP122-1</f>
        <v>-2.8609093203938452E-3</v>
      </c>
      <c r="AS121" s="16">
        <f t="shared" si="391"/>
        <v>-3.6361858131928049E-4</v>
      </c>
    </row>
    <row r="122" spans="1:45" ht="15">
      <c r="A122" s="51">
        <v>44173</v>
      </c>
      <c r="B122" s="48">
        <v>5.9400000000000001E-2</v>
      </c>
      <c r="C122" s="16"/>
      <c r="D122" s="51">
        <v>44539</v>
      </c>
      <c r="E122" s="48">
        <v>6.3E-2</v>
      </c>
      <c r="F122" s="16"/>
      <c r="G122" s="51">
        <v>44904</v>
      </c>
      <c r="H122" s="48">
        <v>7.2999999999999995E-2</v>
      </c>
      <c r="I122" s="16"/>
      <c r="J122" s="51">
        <v>45268</v>
      </c>
      <c r="K122" s="48">
        <v>7.2499999999999995E-2</v>
      </c>
      <c r="L122" s="16"/>
      <c r="M122" s="51">
        <v>45635</v>
      </c>
      <c r="N122" s="48">
        <v>6.7599999999999993E-2</v>
      </c>
      <c r="O122" s="16"/>
      <c r="P122" s="16"/>
      <c r="Q122" s="55">
        <v>44173</v>
      </c>
      <c r="R122" s="49">
        <v>931.8</v>
      </c>
      <c r="S122" s="50">
        <v>18993.86</v>
      </c>
      <c r="T122" s="16">
        <f t="shared" ref="T122:U122" si="392">R122/R123-1</f>
        <v>-1.3759525825571495E-2</v>
      </c>
      <c r="U122" s="16">
        <f t="shared" si="392"/>
        <v>2.7828299760046527E-3</v>
      </c>
      <c r="V122" s="16"/>
      <c r="W122" s="51">
        <v>44539</v>
      </c>
      <c r="X122" s="50">
        <v>1611.3</v>
      </c>
      <c r="Y122" s="50">
        <v>25134.23</v>
      </c>
      <c r="Z122" s="16">
        <f t="shared" ref="Z122:AA122" si="393">X122/X123-1</f>
        <v>2.9254325905638812E-3</v>
      </c>
      <c r="AA122" s="16">
        <f t="shared" si="393"/>
        <v>2.6972124682147491E-3</v>
      </c>
      <c r="AB122" s="16"/>
      <c r="AC122" s="51">
        <v>44904</v>
      </c>
      <c r="AD122" s="50">
        <v>1035.5</v>
      </c>
      <c r="AE122" s="50">
        <v>26895.35</v>
      </c>
      <c r="AF122" s="16">
        <f t="shared" ref="AF122:AG122" si="394">AD122/AD123-1</f>
        <v>-3.5757519322097142E-2</v>
      </c>
      <c r="AG122" s="16">
        <f t="shared" si="394"/>
        <v>-6.0592823689887831E-3</v>
      </c>
      <c r="AH122" s="16"/>
      <c r="AI122" s="51">
        <v>45265</v>
      </c>
      <c r="AJ122" s="50">
        <v>1220.25</v>
      </c>
      <c r="AK122" s="50">
        <v>30814.15</v>
      </c>
      <c r="AL122" s="16">
        <f t="shared" ref="AL122:AM122" si="395">AJ122/AJ123-1</f>
        <v>-2.6970700012258764E-3</v>
      </c>
      <c r="AM122" s="16">
        <f t="shared" si="395"/>
        <v>3.2653010725451903E-3</v>
      </c>
      <c r="AN122" s="16"/>
      <c r="AO122" s="51">
        <v>45632</v>
      </c>
      <c r="AP122" s="50">
        <v>1782.65</v>
      </c>
      <c r="AQ122" s="50">
        <v>36604.29</v>
      </c>
      <c r="AR122" s="16">
        <f t="shared" ref="AR122:AS122" si="396">AP122/AP123-1</f>
        <v>-1.9595218766620404E-3</v>
      </c>
      <c r="AS122" s="16">
        <f t="shared" si="396"/>
        <v>-2.3817388574194354E-3</v>
      </c>
    </row>
    <row r="123" spans="1:45" ht="15">
      <c r="A123" s="51">
        <v>44172</v>
      </c>
      <c r="B123" s="48">
        <v>5.9299999999999999E-2</v>
      </c>
      <c r="C123" s="16"/>
      <c r="D123" s="51">
        <v>44538</v>
      </c>
      <c r="E123" s="48">
        <v>6.3E-2</v>
      </c>
      <c r="F123" s="16"/>
      <c r="G123" s="51">
        <v>44903</v>
      </c>
      <c r="H123" s="48">
        <v>7.2900000000000006E-2</v>
      </c>
      <c r="I123" s="16"/>
      <c r="J123" s="51">
        <v>45267</v>
      </c>
      <c r="K123" s="48">
        <v>7.2400000000000006E-2</v>
      </c>
      <c r="L123" s="16"/>
      <c r="M123" s="51">
        <v>45632</v>
      </c>
      <c r="N123" s="48">
        <v>6.7900000000000002E-2</v>
      </c>
      <c r="O123" s="16"/>
      <c r="P123" s="16"/>
      <c r="Q123" s="51">
        <v>44172</v>
      </c>
      <c r="R123" s="49">
        <v>944.8</v>
      </c>
      <c r="S123" s="50">
        <v>18941.150000000001</v>
      </c>
      <c r="T123" s="16">
        <f t="shared" ref="T123:U123" si="397">R123/R124-1</f>
        <v>2.4062432256665822E-2</v>
      </c>
      <c r="U123" s="16">
        <f t="shared" si="397"/>
        <v>7.3327671197616073E-3</v>
      </c>
      <c r="V123" s="16"/>
      <c r="W123" s="51">
        <v>44538</v>
      </c>
      <c r="X123" s="50">
        <v>1606.6</v>
      </c>
      <c r="Y123" s="50">
        <v>25066.62</v>
      </c>
      <c r="Z123" s="16">
        <f t="shared" ref="Z123:AA123" si="398">X123/X124-1</f>
        <v>1.9092927370757851E-2</v>
      </c>
      <c r="AA123" s="16">
        <f t="shared" si="398"/>
        <v>1.7059033083423047E-2</v>
      </c>
      <c r="AB123" s="16"/>
      <c r="AC123" s="51">
        <v>44903</v>
      </c>
      <c r="AD123" s="50">
        <v>1073.9000000000001</v>
      </c>
      <c r="AE123" s="50">
        <v>27059.31</v>
      </c>
      <c r="AF123" s="16">
        <f t="shared" ref="AF123:AG123" si="399">AD123/AD124-1</f>
        <v>-5.1415072490619274E-3</v>
      </c>
      <c r="AG123" s="16">
        <f t="shared" si="399"/>
        <v>2.6307686550213205E-3</v>
      </c>
      <c r="AH123" s="16"/>
      <c r="AI123" s="51">
        <v>45264</v>
      </c>
      <c r="AJ123" s="50">
        <v>1223.55</v>
      </c>
      <c r="AK123" s="50">
        <v>30713.86</v>
      </c>
      <c r="AL123" s="16">
        <f t="shared" ref="AL123:AM123" si="400">AJ123/AJ124-1</f>
        <v>2.5400467040845864E-3</v>
      </c>
      <c r="AM123" s="16">
        <f t="shared" si="400"/>
        <v>-1.7466425720562562E-3</v>
      </c>
      <c r="AN123" s="16"/>
      <c r="AO123" s="51">
        <v>45631</v>
      </c>
      <c r="AP123" s="50">
        <v>1786.15</v>
      </c>
      <c r="AQ123" s="50">
        <v>36691.68</v>
      </c>
      <c r="AR123" s="16">
        <f t="shared" ref="AR123:AS123" si="401">AP123/AP124-1</f>
        <v>1.4973292419593109E-2</v>
      </c>
      <c r="AS123" s="16">
        <f t="shared" si="401"/>
        <v>-1.2385272903363553E-3</v>
      </c>
    </row>
    <row r="124" spans="1:45" ht="15">
      <c r="A124" s="51">
        <v>44169</v>
      </c>
      <c r="B124" s="48">
        <v>5.8999999999999997E-2</v>
      </c>
      <c r="C124" s="16"/>
      <c r="D124" s="51">
        <v>44537</v>
      </c>
      <c r="E124" s="48">
        <v>6.3200000000000006E-2</v>
      </c>
      <c r="F124" s="16"/>
      <c r="G124" s="51">
        <v>44902</v>
      </c>
      <c r="H124" s="48">
        <v>7.2800000000000004E-2</v>
      </c>
      <c r="I124" s="16"/>
      <c r="J124" s="51">
        <v>45266</v>
      </c>
      <c r="K124" s="48">
        <v>7.2499999999999995E-2</v>
      </c>
      <c r="L124" s="16"/>
      <c r="M124" s="51">
        <v>45631</v>
      </c>
      <c r="N124" s="48">
        <v>6.7299999999999999E-2</v>
      </c>
      <c r="O124" s="16"/>
      <c r="P124" s="16"/>
      <c r="Q124" s="51">
        <v>44169</v>
      </c>
      <c r="R124" s="49">
        <v>922.6</v>
      </c>
      <c r="S124" s="50">
        <v>18803.27</v>
      </c>
      <c r="T124" s="16">
        <f t="shared" ref="T124:U124" si="402">R124/R125-1</f>
        <v>8.6918493412782016E-3</v>
      </c>
      <c r="U124" s="16">
        <f t="shared" si="402"/>
        <v>9.4886165055971805E-3</v>
      </c>
      <c r="V124" s="16"/>
      <c r="W124" s="51">
        <v>44537</v>
      </c>
      <c r="X124" s="50">
        <v>1576.5</v>
      </c>
      <c r="Y124" s="50">
        <v>24646.18</v>
      </c>
      <c r="Z124" s="16">
        <f t="shared" ref="Z124:AA124" si="403">X124/X125-1</f>
        <v>1.575335846138981E-2</v>
      </c>
      <c r="AA124" s="16">
        <f t="shared" si="403"/>
        <v>1.5637472075942682E-2</v>
      </c>
      <c r="AB124" s="16"/>
      <c r="AC124" s="51">
        <v>44902</v>
      </c>
      <c r="AD124" s="50">
        <v>1079.45</v>
      </c>
      <c r="AE124" s="50">
        <v>26988.31</v>
      </c>
      <c r="AF124" s="16">
        <f t="shared" ref="AF124:AG124" si="404">AD124/AD125-1</f>
        <v>-8.4963718196013893E-3</v>
      </c>
      <c r="AG124" s="16">
        <f t="shared" si="404"/>
        <v>-4.4105272749204172E-3</v>
      </c>
      <c r="AH124" s="16"/>
      <c r="AI124" s="51">
        <v>45261</v>
      </c>
      <c r="AJ124" s="50">
        <v>1220.45</v>
      </c>
      <c r="AK124" s="50">
        <v>30767.599999999999</v>
      </c>
      <c r="AL124" s="16">
        <f t="shared" ref="AL124:AM124" si="405">AJ124/AJ125-1</f>
        <v>-1.228903817793725E-4</v>
      </c>
      <c r="AM124" s="16">
        <f t="shared" si="405"/>
        <v>3.9616670130935283E-3</v>
      </c>
      <c r="AN124" s="16"/>
      <c r="AO124" s="51">
        <v>45630</v>
      </c>
      <c r="AP124" s="50">
        <v>1759.8</v>
      </c>
      <c r="AQ124" s="50">
        <v>36737.18</v>
      </c>
      <c r="AR124" s="16">
        <f t="shared" ref="AR124:AS124" si="406">AP124/AP125-1</f>
        <v>5.916145074166046E-3</v>
      </c>
      <c r="AS124" s="16">
        <f t="shared" si="406"/>
        <v>9.8482884726343034E-3</v>
      </c>
    </row>
    <row r="125" spans="1:45" ht="15">
      <c r="A125" s="51">
        <v>44168</v>
      </c>
      <c r="B125" s="48">
        <v>5.9299999999999999E-2</v>
      </c>
      <c r="C125" s="16"/>
      <c r="D125" s="51">
        <v>44536</v>
      </c>
      <c r="E125" s="48">
        <v>6.3500000000000001E-2</v>
      </c>
      <c r="F125" s="16"/>
      <c r="G125" s="51">
        <v>44901</v>
      </c>
      <c r="H125" s="48">
        <v>7.2499999999999995E-2</v>
      </c>
      <c r="I125" s="16"/>
      <c r="J125" s="51">
        <v>45265</v>
      </c>
      <c r="K125" s="48">
        <v>7.2599999999999998E-2</v>
      </c>
      <c r="L125" s="16"/>
      <c r="M125" s="51">
        <v>45630</v>
      </c>
      <c r="N125" s="48">
        <v>6.7299999999999999E-2</v>
      </c>
      <c r="O125" s="16"/>
      <c r="P125" s="16"/>
      <c r="Q125" s="51">
        <v>44168</v>
      </c>
      <c r="R125" s="49">
        <v>914.65</v>
      </c>
      <c r="S125" s="50">
        <v>18626.53</v>
      </c>
      <c r="T125" s="16">
        <f t="shared" ref="T125:U125" si="407">R125/R126-1</f>
        <v>6.8802289740201861E-3</v>
      </c>
      <c r="U125" s="16">
        <f t="shared" si="407"/>
        <v>1.539421117437767E-3</v>
      </c>
      <c r="V125" s="16"/>
      <c r="W125" s="51">
        <v>44536</v>
      </c>
      <c r="X125" s="50">
        <v>1552.05</v>
      </c>
      <c r="Y125" s="50">
        <v>24266.71</v>
      </c>
      <c r="Z125" s="16">
        <f t="shared" ref="Z125:AA125" si="408">X125/X126-1</f>
        <v>-2.5645049908971096E-2</v>
      </c>
      <c r="AA125" s="16">
        <f t="shared" si="408"/>
        <v>-1.6539931582102207E-2</v>
      </c>
      <c r="AB125" s="16"/>
      <c r="AC125" s="51">
        <v>44901</v>
      </c>
      <c r="AD125" s="50">
        <v>1088.7</v>
      </c>
      <c r="AE125" s="50">
        <v>27107.87</v>
      </c>
      <c r="AF125" s="16">
        <f t="shared" ref="AF125:AG125" si="409">AD125/AD126-1</f>
        <v>-1.0002728016731854E-2</v>
      </c>
      <c r="AG125" s="16">
        <f t="shared" si="409"/>
        <v>-3.1173876460689476E-3</v>
      </c>
      <c r="AH125" s="16"/>
      <c r="AI125" s="53">
        <v>45260</v>
      </c>
      <c r="AJ125" s="50">
        <v>1220.5999999999999</v>
      </c>
      <c r="AK125" s="50">
        <v>30646.19</v>
      </c>
      <c r="AL125" s="16">
        <f t="shared" ref="AL125:AM125" si="410">AJ125/AJ126-1</f>
        <v>-6.9589422407800861E-4</v>
      </c>
      <c r="AM125" s="16">
        <f t="shared" si="410"/>
        <v>8.1345021910324E-3</v>
      </c>
      <c r="AN125" s="16"/>
      <c r="AO125" s="51">
        <v>45629</v>
      </c>
      <c r="AP125" s="50">
        <v>1749.45</v>
      </c>
      <c r="AQ125" s="50">
        <v>36378.910000000003</v>
      </c>
      <c r="AR125" s="16">
        <f t="shared" ref="AR125:AS125" si="411">AP125/AP126-1</f>
        <v>2.090732042616672E-3</v>
      </c>
      <c r="AS125" s="16">
        <f t="shared" si="411"/>
        <v>4.2020007353515965E-4</v>
      </c>
    </row>
    <row r="126" spans="1:45" ht="15">
      <c r="A126" s="51">
        <v>44167</v>
      </c>
      <c r="B126" s="48">
        <v>5.9200000000000003E-2</v>
      </c>
      <c r="C126" s="16"/>
      <c r="D126" s="51">
        <v>44533</v>
      </c>
      <c r="E126" s="48">
        <v>6.3100000000000003E-2</v>
      </c>
      <c r="F126" s="16"/>
      <c r="G126" s="51">
        <v>44900</v>
      </c>
      <c r="H126" s="48">
        <v>7.22E-2</v>
      </c>
      <c r="I126" s="16"/>
      <c r="J126" s="51">
        <v>45264</v>
      </c>
      <c r="K126" s="48">
        <v>7.2700000000000001E-2</v>
      </c>
      <c r="L126" s="16"/>
      <c r="M126" s="51">
        <v>45629</v>
      </c>
      <c r="N126" s="48">
        <v>6.7500000000000004E-2</v>
      </c>
      <c r="O126" s="16"/>
      <c r="P126" s="16"/>
      <c r="Q126" s="51">
        <v>44167</v>
      </c>
      <c r="R126" s="49">
        <v>908.4</v>
      </c>
      <c r="S126" s="50">
        <v>18597.900000000001</v>
      </c>
      <c r="T126" s="16">
        <f t="shared" ref="T126:U126" si="412">R126/R127-1</f>
        <v>1.8196856906533831E-3</v>
      </c>
      <c r="U126" s="16">
        <f t="shared" si="412"/>
        <v>3.5769515228945004E-4</v>
      </c>
      <c r="V126" s="16"/>
      <c r="W126" s="51">
        <v>44533</v>
      </c>
      <c r="X126" s="50">
        <v>1592.9</v>
      </c>
      <c r="Y126" s="50">
        <v>24674.83</v>
      </c>
      <c r="Z126" s="16">
        <f t="shared" ref="Z126:AA126" si="413">X126/X127-1</f>
        <v>-2.2550854477955351E-2</v>
      </c>
      <c r="AA126" s="16">
        <f t="shared" si="413"/>
        <v>-1.1777846930442593E-2</v>
      </c>
      <c r="AB126" s="16"/>
      <c r="AC126" s="51">
        <v>44900</v>
      </c>
      <c r="AD126" s="50">
        <v>1099.7</v>
      </c>
      <c r="AE126" s="50">
        <v>27192.639999999999</v>
      </c>
      <c r="AF126" s="16">
        <f t="shared" ref="AF126:AG126" si="414">AD126/AD127-1</f>
        <v>-1.3323762953658336E-2</v>
      </c>
      <c r="AG126" s="16">
        <f t="shared" si="414"/>
        <v>2.6484765374412689E-4</v>
      </c>
      <c r="AH126" s="16"/>
      <c r="AI126" s="53">
        <v>45259</v>
      </c>
      <c r="AJ126" s="50">
        <v>1221.45</v>
      </c>
      <c r="AK126" s="50">
        <v>30398.91</v>
      </c>
      <c r="AL126" s="16">
        <f t="shared" ref="AL126:AM126" si="415">AJ126/AJ127-1</f>
        <v>1.5125701225846777E-2</v>
      </c>
      <c r="AM126" s="16">
        <f t="shared" si="415"/>
        <v>2.0668266218631048E-2</v>
      </c>
      <c r="AN126" s="16"/>
      <c r="AO126" s="51">
        <v>45628</v>
      </c>
      <c r="AP126" s="50">
        <v>1745.8</v>
      </c>
      <c r="AQ126" s="50">
        <v>36363.629999999997</v>
      </c>
      <c r="AR126" s="16">
        <f t="shared" ref="AR126:AS126" si="416">AP126/AP127-1</f>
        <v>2.0011101048756919E-2</v>
      </c>
      <c r="AS126" s="16">
        <f t="shared" si="416"/>
        <v>7.4593309375776684E-3</v>
      </c>
    </row>
    <row r="127" spans="1:45" ht="15">
      <c r="A127" s="51">
        <v>44166</v>
      </c>
      <c r="B127" s="48">
        <v>5.9299999999999999E-2</v>
      </c>
      <c r="C127" s="16"/>
      <c r="D127" s="51">
        <v>44532</v>
      </c>
      <c r="E127" s="48">
        <v>6.3E-2</v>
      </c>
      <c r="F127" s="16"/>
      <c r="G127" s="51">
        <v>44897</v>
      </c>
      <c r="H127" s="48">
        <v>7.2300000000000003E-2</v>
      </c>
      <c r="I127" s="16"/>
      <c r="J127" s="51">
        <v>45261</v>
      </c>
      <c r="K127" s="48">
        <v>7.2900000000000006E-2</v>
      </c>
      <c r="L127" s="16"/>
      <c r="M127" s="51">
        <v>45628</v>
      </c>
      <c r="N127" s="48">
        <v>6.7500000000000004E-2</v>
      </c>
      <c r="O127" s="16"/>
      <c r="P127" s="16"/>
      <c r="Q127" s="51">
        <v>44166</v>
      </c>
      <c r="R127" s="49">
        <v>906.75</v>
      </c>
      <c r="S127" s="50">
        <v>18591.25</v>
      </c>
      <c r="T127" s="16">
        <f t="shared" ref="T127:U127" si="417">R127/R128-1</f>
        <v>3.4925526450950262E-2</v>
      </c>
      <c r="U127" s="16">
        <f t="shared" si="417"/>
        <v>1.080383677295238E-2</v>
      </c>
      <c r="V127" s="16"/>
      <c r="W127" s="51">
        <v>44532</v>
      </c>
      <c r="X127" s="50">
        <v>1629.65</v>
      </c>
      <c r="Y127" s="50">
        <v>24968.91</v>
      </c>
      <c r="Z127" s="16">
        <f t="shared" ref="Z127:AA127" si="418">X127/X128-1</f>
        <v>2.6001825794063071E-2</v>
      </c>
      <c r="AA127" s="16">
        <f t="shared" si="418"/>
        <v>1.3675267111236344E-2</v>
      </c>
      <c r="AB127" s="16"/>
      <c r="AC127" s="51">
        <v>44897</v>
      </c>
      <c r="AD127" s="50">
        <v>1114.55</v>
      </c>
      <c r="AE127" s="50">
        <v>27185.439999999999</v>
      </c>
      <c r="AF127" s="16">
        <f t="shared" ref="AF127:AG127" si="419">AD127/AD128-1</f>
        <v>1.1571973134870239E-2</v>
      </c>
      <c r="AG127" s="16">
        <f t="shared" si="419"/>
        <v>-6.1890553520158598E-3</v>
      </c>
      <c r="AH127" s="16"/>
      <c r="AI127" s="53">
        <v>45258</v>
      </c>
      <c r="AJ127" s="50">
        <v>1203.25</v>
      </c>
      <c r="AK127" s="50">
        <v>29783.34</v>
      </c>
      <c r="AL127" s="16">
        <f t="shared" ref="AL127:AM127" si="420">AJ127/AJ128-1</f>
        <v>4.0051733489090413E-3</v>
      </c>
      <c r="AM127" s="16">
        <f t="shared" si="420"/>
        <v>6.6918232531225641E-3</v>
      </c>
      <c r="AN127" s="16"/>
      <c r="AO127" s="53">
        <v>45625</v>
      </c>
      <c r="AP127" s="50">
        <v>1711.55</v>
      </c>
      <c r="AQ127" s="50">
        <v>36094.39</v>
      </c>
      <c r="AR127" s="16">
        <f t="shared" ref="AR127:AS127" si="421">AP127/AP128-1</f>
        <v>-1.460450987265105E-4</v>
      </c>
      <c r="AS127" s="16">
        <f t="shared" si="421"/>
        <v>6.0082800939385006E-3</v>
      </c>
    </row>
    <row r="128" spans="1:45" ht="15">
      <c r="A128" s="53">
        <v>44165</v>
      </c>
      <c r="B128" s="48">
        <v>5.91E-2</v>
      </c>
      <c r="C128" s="16"/>
      <c r="D128" s="51">
        <v>44531</v>
      </c>
      <c r="E128" s="48">
        <v>6.3100000000000003E-2</v>
      </c>
      <c r="F128" s="16"/>
      <c r="G128" s="51">
        <v>44896</v>
      </c>
      <c r="H128" s="48">
        <v>7.2099999999999997E-2</v>
      </c>
      <c r="I128" s="16"/>
      <c r="J128" s="53">
        <v>45260</v>
      </c>
      <c r="K128" s="48">
        <v>7.2599999999999998E-2</v>
      </c>
      <c r="L128" s="16"/>
      <c r="M128" s="53">
        <v>45625</v>
      </c>
      <c r="N128" s="48">
        <v>6.83E-2</v>
      </c>
      <c r="O128" s="16"/>
      <c r="P128" s="16"/>
      <c r="Q128" s="54">
        <v>44162</v>
      </c>
      <c r="R128" s="49">
        <v>876.15</v>
      </c>
      <c r="S128" s="50">
        <v>18392.54</v>
      </c>
      <c r="T128" s="16">
        <f t="shared" ref="T128:U128" si="422">R128/R129-1</f>
        <v>2.2047244094488105E-2</v>
      </c>
      <c r="U128" s="16">
        <f t="shared" si="422"/>
        <v>-1.3910184296367367E-3</v>
      </c>
      <c r="V128" s="16"/>
      <c r="W128" s="51">
        <v>44531</v>
      </c>
      <c r="X128" s="50">
        <v>1588.35</v>
      </c>
      <c r="Y128" s="50">
        <v>24632.06</v>
      </c>
      <c r="Z128" s="16">
        <f t="shared" ref="Z128:AA128" si="423">X128/X129-1</f>
        <v>3.0659918240218076E-2</v>
      </c>
      <c r="AA128" s="16">
        <f t="shared" si="423"/>
        <v>1.0814357698228028E-2</v>
      </c>
      <c r="AB128" s="16"/>
      <c r="AC128" s="51">
        <v>44896</v>
      </c>
      <c r="AD128" s="50">
        <v>1101.8</v>
      </c>
      <c r="AE128" s="50">
        <v>27354.74</v>
      </c>
      <c r="AF128" s="16">
        <f t="shared" ref="AF128:AG128" si="424">AD128/AD129-1</f>
        <v>2.2742040285899989E-2</v>
      </c>
      <c r="AG128" s="16">
        <f t="shared" si="424"/>
        <v>2.8864192380044784E-3</v>
      </c>
      <c r="AH128" s="16"/>
      <c r="AI128" s="53">
        <v>45254</v>
      </c>
      <c r="AJ128" s="50">
        <v>1198.45</v>
      </c>
      <c r="AK128" s="50">
        <v>29585.360000000001</v>
      </c>
      <c r="AL128" s="16">
        <f t="shared" ref="AL128:AM128" si="425">AJ128/AJ129-1</f>
        <v>-9.913668470403536E-3</v>
      </c>
      <c r="AM128" s="16">
        <f t="shared" si="425"/>
        <v>1.8194051598234839E-3</v>
      </c>
      <c r="AN128" s="16"/>
      <c r="AO128" s="53">
        <v>45624</v>
      </c>
      <c r="AP128" s="50">
        <v>1711.8</v>
      </c>
      <c r="AQ128" s="50">
        <v>35878.82</v>
      </c>
      <c r="AR128" s="16">
        <f t="shared" ref="AR128:AS128" si="426">AP128/AP129-1</f>
        <v>-2.4782088531874913E-2</v>
      </c>
      <c r="AS128" s="16">
        <f t="shared" si="426"/>
        <v>9.0715364688140898E-3</v>
      </c>
    </row>
    <row r="129" spans="1:45" ht="15">
      <c r="A129" s="53">
        <v>44162</v>
      </c>
      <c r="B129" s="48">
        <v>5.91E-2</v>
      </c>
      <c r="C129" s="16"/>
      <c r="D129" s="53">
        <v>44530</v>
      </c>
      <c r="E129" s="48">
        <v>6.3E-2</v>
      </c>
      <c r="F129" s="16"/>
      <c r="G129" s="53">
        <v>44895</v>
      </c>
      <c r="H129" s="48">
        <v>7.2800000000000004E-2</v>
      </c>
      <c r="I129" s="16"/>
      <c r="J129" s="53">
        <v>45259</v>
      </c>
      <c r="K129" s="48">
        <v>7.2499999999999995E-2</v>
      </c>
      <c r="L129" s="16"/>
      <c r="M129" s="53">
        <v>45624</v>
      </c>
      <c r="N129" s="48">
        <v>6.8400000000000002E-2</v>
      </c>
      <c r="O129" s="16"/>
      <c r="P129" s="16"/>
      <c r="Q129" s="53">
        <v>44161</v>
      </c>
      <c r="R129" s="49">
        <v>857.25</v>
      </c>
      <c r="S129" s="50">
        <v>18418.16</v>
      </c>
      <c r="T129" s="16">
        <f t="shared" ref="T129:U129" si="427">R129/R130-1</f>
        <v>-5.7987822557262758E-3</v>
      </c>
      <c r="U129" s="16">
        <f t="shared" si="427"/>
        <v>1.0002325101887699E-2</v>
      </c>
      <c r="V129" s="16"/>
      <c r="W129" s="53">
        <v>44530</v>
      </c>
      <c r="X129" s="50">
        <v>1541.1</v>
      </c>
      <c r="Y129" s="50">
        <v>24368.53</v>
      </c>
      <c r="Z129" s="16">
        <f t="shared" ref="Z129:AA129" si="428">X129/X130-1</f>
        <v>1.2669330474610607E-3</v>
      </c>
      <c r="AA129" s="16">
        <f t="shared" si="428"/>
        <v>-4.1463032882319562E-3</v>
      </c>
      <c r="AB129" s="16"/>
      <c r="AC129" s="53">
        <v>44895</v>
      </c>
      <c r="AD129" s="50">
        <v>1077.3</v>
      </c>
      <c r="AE129" s="50">
        <v>27276.01</v>
      </c>
      <c r="AF129" s="16">
        <f t="shared" ref="AF129:AG129" si="429">AD129/AD130-1</f>
        <v>1.9065333643337734E-3</v>
      </c>
      <c r="AG129" s="16">
        <f t="shared" si="429"/>
        <v>7.5365747167366326E-3</v>
      </c>
      <c r="AH129" s="16"/>
      <c r="AI129" s="53">
        <v>45253</v>
      </c>
      <c r="AJ129" s="50">
        <v>1210.45</v>
      </c>
      <c r="AK129" s="50">
        <v>29531.63</v>
      </c>
      <c r="AL129" s="16">
        <f t="shared" ref="AL129:AM129" si="430">AJ129/AJ130-1</f>
        <v>-3.949804566961479E-3</v>
      </c>
      <c r="AM129" s="16">
        <f t="shared" si="430"/>
        <v>1.0401808427031867E-2</v>
      </c>
      <c r="AN129" s="16"/>
      <c r="AO129" s="53">
        <v>45623</v>
      </c>
      <c r="AP129" s="50">
        <v>1755.3</v>
      </c>
      <c r="AQ129" s="50">
        <v>35556.269999999997</v>
      </c>
      <c r="AR129" s="16">
        <f t="shared" ref="AR129:AS129" si="431">AP129/AP130-1</f>
        <v>5.6720522516326977E-3</v>
      </c>
      <c r="AS129" s="16">
        <f t="shared" si="431"/>
        <v>-1.4861197501430445E-2</v>
      </c>
    </row>
    <row r="130" spans="1:45" ht="15">
      <c r="A130" s="53">
        <v>44161</v>
      </c>
      <c r="B130" s="48">
        <v>5.8700000000000002E-2</v>
      </c>
      <c r="C130" s="16"/>
      <c r="D130" s="53">
        <v>44529</v>
      </c>
      <c r="E130" s="48">
        <v>6.3E-2</v>
      </c>
      <c r="F130" s="16"/>
      <c r="G130" s="53">
        <v>44894</v>
      </c>
      <c r="H130" s="48">
        <v>7.2800000000000004E-2</v>
      </c>
      <c r="I130" s="16"/>
      <c r="J130" s="53">
        <v>45258</v>
      </c>
      <c r="K130" s="48">
        <v>7.2700000000000001E-2</v>
      </c>
      <c r="L130" s="16"/>
      <c r="M130" s="53">
        <v>45623</v>
      </c>
      <c r="N130" s="48">
        <v>6.8400000000000002E-2</v>
      </c>
      <c r="O130" s="16"/>
      <c r="P130" s="16"/>
      <c r="Q130" s="53">
        <v>44160</v>
      </c>
      <c r="R130" s="49">
        <v>862.25</v>
      </c>
      <c r="S130" s="50">
        <v>18235.759999999998</v>
      </c>
      <c r="T130" s="16">
        <f t="shared" ref="T130:U130" si="432">R130/R131-1</f>
        <v>-1.7434903994074324E-2</v>
      </c>
      <c r="U130" s="16">
        <f t="shared" si="432"/>
        <v>-1.5072250229815953E-2</v>
      </c>
      <c r="V130" s="16"/>
      <c r="W130" s="53">
        <v>44529</v>
      </c>
      <c r="X130" s="50">
        <v>1539.15</v>
      </c>
      <c r="Y130" s="50">
        <v>24469.99</v>
      </c>
      <c r="Z130" s="16">
        <f t="shared" ref="Z130:AA130" si="433">X130/X131-1</f>
        <v>1.233228097868988E-2</v>
      </c>
      <c r="AA130" s="16">
        <f t="shared" si="433"/>
        <v>1.6151921386888812E-3</v>
      </c>
      <c r="AB130" s="16"/>
      <c r="AC130" s="53">
        <v>44894</v>
      </c>
      <c r="AD130" s="50">
        <v>1075.25</v>
      </c>
      <c r="AE130" s="50">
        <v>27071.98</v>
      </c>
      <c r="AF130" s="16">
        <f t="shared" ref="AF130:AG130" si="434">AD130/AD131-1</f>
        <v>-1.9492272706176372E-3</v>
      </c>
      <c r="AG130" s="16">
        <f t="shared" si="434"/>
        <v>2.9779635145750216E-3</v>
      </c>
      <c r="AH130" s="16"/>
      <c r="AI130" s="53">
        <v>45252</v>
      </c>
      <c r="AJ130" s="50">
        <v>1215.25</v>
      </c>
      <c r="AK130" s="50">
        <v>29227.61</v>
      </c>
      <c r="AL130" s="16">
        <f t="shared" ref="AL130:AM130" si="435">AJ130/AJ131-1</f>
        <v>8.0879303193694962E-3</v>
      </c>
      <c r="AM130" s="16">
        <f t="shared" si="435"/>
        <v>4.801300882324222E-3</v>
      </c>
      <c r="AN130" s="16"/>
      <c r="AO130" s="53">
        <v>45622</v>
      </c>
      <c r="AP130" s="50">
        <v>1745.4</v>
      </c>
      <c r="AQ130" s="50">
        <v>36092.65</v>
      </c>
      <c r="AR130" s="16">
        <f t="shared" ref="AR130:AS130" si="436">AP130/AP131-1</f>
        <v>6.6034199371378666E-3</v>
      </c>
      <c r="AS130" s="16">
        <f t="shared" si="436"/>
        <v>3.3230376800894579E-3</v>
      </c>
    </row>
    <row r="131" spans="1:45" ht="15">
      <c r="A131" s="53">
        <v>44160</v>
      </c>
      <c r="B131" s="48">
        <v>5.8799999999999998E-2</v>
      </c>
      <c r="C131" s="16"/>
      <c r="D131" s="53">
        <v>44526</v>
      </c>
      <c r="E131" s="48">
        <v>6.3100000000000003E-2</v>
      </c>
      <c r="F131" s="16"/>
      <c r="G131" s="53">
        <v>44893</v>
      </c>
      <c r="H131" s="48">
        <v>7.2700000000000001E-2</v>
      </c>
      <c r="I131" s="16"/>
      <c r="J131" s="53">
        <v>45256</v>
      </c>
      <c r="K131" s="48">
        <v>7.2800000000000004E-2</v>
      </c>
      <c r="L131" s="16"/>
      <c r="M131" s="53">
        <v>45622</v>
      </c>
      <c r="N131" s="48">
        <v>6.8599999999999994E-2</v>
      </c>
      <c r="O131" s="16"/>
      <c r="P131" s="16"/>
      <c r="Q131" s="53">
        <v>44159</v>
      </c>
      <c r="R131" s="49">
        <v>877.55</v>
      </c>
      <c r="S131" s="50">
        <v>18514.82</v>
      </c>
      <c r="T131" s="16">
        <f t="shared" ref="T131:U131" si="437">R131/R132-1</f>
        <v>1.3629800750794008E-2</v>
      </c>
      <c r="U131" s="16">
        <f t="shared" si="437"/>
        <v>9.9545447850872826E-3</v>
      </c>
      <c r="V131" s="16"/>
      <c r="W131" s="53">
        <v>44526</v>
      </c>
      <c r="X131" s="50">
        <v>1520.4</v>
      </c>
      <c r="Y131" s="50">
        <v>24430.53</v>
      </c>
      <c r="Z131" s="16">
        <f t="shared" ref="Z131:AA131" si="438">X131/X132-1</f>
        <v>-2.4634334103156186E-2</v>
      </c>
      <c r="AA131" s="16">
        <f t="shared" si="438"/>
        <v>-2.9073124746890944E-2</v>
      </c>
      <c r="AB131" s="16"/>
      <c r="AC131" s="53">
        <v>44893</v>
      </c>
      <c r="AD131" s="50">
        <v>1077.3499999999999</v>
      </c>
      <c r="AE131" s="50">
        <v>26991.599999999999</v>
      </c>
      <c r="AF131" s="16">
        <f t="shared" ref="AF131:AG131" si="439">AD131/AD132-1</f>
        <v>-2.3613297527550481E-3</v>
      </c>
      <c r="AG131" s="16">
        <f t="shared" si="439"/>
        <v>2.7010771989484095E-3</v>
      </c>
      <c r="AH131" s="16"/>
      <c r="AI131" s="53">
        <v>45251</v>
      </c>
      <c r="AJ131" s="50">
        <v>1205.5</v>
      </c>
      <c r="AK131" s="50">
        <v>29087.95</v>
      </c>
      <c r="AL131" s="16">
        <f t="shared" ref="AL131:AM131" si="440">AJ131/AJ132-1</f>
        <v>-5.0346649059094251E-3</v>
      </c>
      <c r="AM131" s="16">
        <f t="shared" si="440"/>
        <v>-3.7080643354314713E-4</v>
      </c>
      <c r="AN131" s="16"/>
      <c r="AO131" s="53">
        <v>45621</v>
      </c>
      <c r="AP131" s="50">
        <v>1733.95</v>
      </c>
      <c r="AQ131" s="50">
        <v>35973.11</v>
      </c>
      <c r="AR131" s="16">
        <f t="shared" ref="AR131:AS131" si="441">AP131/AP132-1</f>
        <v>-7.8674829776277377E-3</v>
      </c>
      <c r="AS131" s="16">
        <f t="shared" si="441"/>
        <v>-1.1312314567867299E-3</v>
      </c>
    </row>
    <row r="132" spans="1:45" ht="15">
      <c r="A132" s="53">
        <v>44159</v>
      </c>
      <c r="B132" s="48">
        <v>5.8799999999999998E-2</v>
      </c>
      <c r="C132" s="16"/>
      <c r="D132" s="53">
        <v>44525</v>
      </c>
      <c r="E132" s="48">
        <v>6.3399999999999998E-2</v>
      </c>
      <c r="F132" s="16"/>
      <c r="G132" s="53">
        <v>44890</v>
      </c>
      <c r="H132" s="48">
        <v>7.2999999999999995E-2</v>
      </c>
      <c r="I132" s="16"/>
      <c r="J132" s="53">
        <v>45254</v>
      </c>
      <c r="K132" s="48">
        <v>7.2800000000000004E-2</v>
      </c>
      <c r="L132" s="16"/>
      <c r="M132" s="53">
        <v>45621</v>
      </c>
      <c r="N132" s="48">
        <v>6.8500000000000005E-2</v>
      </c>
      <c r="O132" s="16"/>
      <c r="P132" s="16"/>
      <c r="Q132" s="53">
        <v>44158</v>
      </c>
      <c r="R132" s="49">
        <v>865.75</v>
      </c>
      <c r="S132" s="50">
        <v>18332.330000000002</v>
      </c>
      <c r="T132" s="16">
        <f t="shared" ref="T132:U132" si="442">R132/R133-1</f>
        <v>3.3299516619919922E-2</v>
      </c>
      <c r="U132" s="16">
        <f t="shared" si="442"/>
        <v>5.2449239664238423E-3</v>
      </c>
      <c r="V132" s="16"/>
      <c r="W132" s="53">
        <v>44525</v>
      </c>
      <c r="X132" s="50">
        <v>1558.8</v>
      </c>
      <c r="Y132" s="50">
        <v>25162.07</v>
      </c>
      <c r="Z132" s="16">
        <f t="shared" ref="Z132:AA132" si="443">X132/X133-1</f>
        <v>1.2405013963759037E-2</v>
      </c>
      <c r="AA132" s="16">
        <f t="shared" si="443"/>
        <v>6.9588901632691158E-3</v>
      </c>
      <c r="AB132" s="16"/>
      <c r="AC132" s="53">
        <v>44890</v>
      </c>
      <c r="AD132" s="50">
        <v>1079.9000000000001</v>
      </c>
      <c r="AE132" s="50">
        <v>26918.89</v>
      </c>
      <c r="AF132" s="16">
        <f t="shared" ref="AF132:AG132" si="444">AD132/AD133-1</f>
        <v>1.0054716363466332E-2</v>
      </c>
      <c r="AG132" s="16">
        <f t="shared" si="444"/>
        <v>1.549638281311605E-3</v>
      </c>
      <c r="AH132" s="16"/>
      <c r="AI132" s="53">
        <v>45250</v>
      </c>
      <c r="AJ132" s="50">
        <v>1211.5999999999999</v>
      </c>
      <c r="AK132" s="50">
        <v>29098.74</v>
      </c>
      <c r="AL132" s="16">
        <f t="shared" ref="AL132:AM132" si="445">AJ132/AJ133-1</f>
        <v>6.1033838488684378E-3</v>
      </c>
      <c r="AM132" s="16">
        <f t="shared" si="445"/>
        <v>-4.9599528460986253E-4</v>
      </c>
      <c r="AN132" s="16"/>
      <c r="AO132" s="53">
        <v>45618</v>
      </c>
      <c r="AP132" s="50">
        <v>1747.7</v>
      </c>
      <c r="AQ132" s="50">
        <v>36013.85</v>
      </c>
      <c r="AR132" s="16">
        <f t="shared" ref="AR132:AS132" si="446">AP132/AP133-1</f>
        <v>2.7273261623464551E-2</v>
      </c>
      <c r="AS132" s="16">
        <f t="shared" si="446"/>
        <v>1.3161533460436026E-2</v>
      </c>
    </row>
    <row r="133" spans="1:45" ht="15">
      <c r="A133" s="53">
        <v>44158</v>
      </c>
      <c r="B133" s="48">
        <v>5.8999999999999997E-2</v>
      </c>
      <c r="C133" s="16"/>
      <c r="D133" s="53">
        <v>44524</v>
      </c>
      <c r="E133" s="48">
        <v>6.3799999999999996E-2</v>
      </c>
      <c r="F133" s="16"/>
      <c r="G133" s="53">
        <v>44889</v>
      </c>
      <c r="H133" s="48">
        <v>7.6700000000000004E-2</v>
      </c>
      <c r="I133" s="16"/>
      <c r="J133" s="53">
        <v>45253</v>
      </c>
      <c r="K133" s="48">
        <v>7.2499999999999995E-2</v>
      </c>
      <c r="L133" s="16"/>
      <c r="M133" s="53">
        <v>45618</v>
      </c>
      <c r="N133" s="48">
        <v>6.88E-2</v>
      </c>
      <c r="O133" s="16"/>
      <c r="P133" s="16"/>
      <c r="Q133" s="53">
        <v>44155</v>
      </c>
      <c r="R133" s="49">
        <v>837.85</v>
      </c>
      <c r="S133" s="50">
        <v>18236.68</v>
      </c>
      <c r="T133" s="16">
        <f t="shared" ref="T133:U133" si="447">R133/R134-1</f>
        <v>1.9468272799172626E-2</v>
      </c>
      <c r="U133" s="16">
        <f t="shared" si="447"/>
        <v>6.8376946065302757E-3</v>
      </c>
      <c r="V133" s="16"/>
      <c r="W133" s="53">
        <v>44524</v>
      </c>
      <c r="X133" s="50">
        <v>1539.7</v>
      </c>
      <c r="Y133" s="50">
        <v>24988.18</v>
      </c>
      <c r="Z133" s="16">
        <f t="shared" ref="Z133:AA133" si="448">X133/X134-1</f>
        <v>-1.3676691970148203E-2</v>
      </c>
      <c r="AA133" s="16">
        <f t="shared" si="448"/>
        <v>-5.0424410766232164E-3</v>
      </c>
      <c r="AB133" s="16"/>
      <c r="AC133" s="53">
        <v>44889</v>
      </c>
      <c r="AD133" s="50">
        <v>1069.1500000000001</v>
      </c>
      <c r="AE133" s="50">
        <v>26877.24</v>
      </c>
      <c r="AF133" s="16">
        <f t="shared" ref="AF133:AG133" si="449">AD133/AD134-1</f>
        <v>2.3942920078532826E-2</v>
      </c>
      <c r="AG133" s="16">
        <f t="shared" si="449"/>
        <v>1.1872272643249415E-2</v>
      </c>
      <c r="AH133" s="16"/>
      <c r="AI133" s="53">
        <v>45247</v>
      </c>
      <c r="AJ133" s="50">
        <v>1204.25</v>
      </c>
      <c r="AK133" s="50">
        <v>29113.18</v>
      </c>
      <c r="AL133" s="16">
        <f t="shared" ref="AL133:AM133" si="450">AJ133/AJ134-1</f>
        <v>-1.7407883284286108E-3</v>
      </c>
      <c r="AM133" s="16">
        <f t="shared" si="450"/>
        <v>1.4385291916167997E-3</v>
      </c>
      <c r="AN133" s="16"/>
      <c r="AO133" s="53">
        <v>45617</v>
      </c>
      <c r="AP133" s="50">
        <v>1701.3</v>
      </c>
      <c r="AQ133" s="50">
        <v>35546.01</v>
      </c>
      <c r="AR133" s="16">
        <f t="shared" ref="AR133:AS133" si="451">AP133/AP134-1</f>
        <v>1.2358757062145287E-3</v>
      </c>
      <c r="AS133" s="16">
        <f t="shared" si="451"/>
        <v>2.386964201153785E-2</v>
      </c>
    </row>
    <row r="134" spans="1:45" ht="15">
      <c r="A134" s="53">
        <v>44155</v>
      </c>
      <c r="B134" s="48">
        <v>5.8799999999999998E-2</v>
      </c>
      <c r="C134" s="16"/>
      <c r="D134" s="53">
        <v>44523</v>
      </c>
      <c r="E134" s="48">
        <v>6.3399999999999998E-2</v>
      </c>
      <c r="F134" s="16"/>
      <c r="G134" s="53">
        <v>44888</v>
      </c>
      <c r="H134" s="48">
        <v>7.2900000000000006E-2</v>
      </c>
      <c r="I134" s="16"/>
      <c r="J134" s="53">
        <v>45252</v>
      </c>
      <c r="K134" s="48">
        <v>7.2599999999999998E-2</v>
      </c>
      <c r="L134" s="16"/>
      <c r="M134" s="53">
        <v>45617</v>
      </c>
      <c r="N134" s="48">
        <v>6.8599999999999994E-2</v>
      </c>
      <c r="O134" s="16"/>
      <c r="P134" s="16"/>
      <c r="Q134" s="53">
        <v>44154</v>
      </c>
      <c r="R134" s="49">
        <v>821.85</v>
      </c>
      <c r="S134" s="50">
        <v>18112.830000000002</v>
      </c>
      <c r="T134" s="16">
        <f t="shared" ref="T134:U134" si="452">R134/R135-1</f>
        <v>-1.6984630105854825E-2</v>
      </c>
      <c r="U134" s="16">
        <f t="shared" si="452"/>
        <v>-1.287207709185556E-2</v>
      </c>
      <c r="V134" s="16"/>
      <c r="W134" s="53">
        <v>44523</v>
      </c>
      <c r="X134" s="50">
        <v>1561.05</v>
      </c>
      <c r="Y134" s="50">
        <v>25114.82</v>
      </c>
      <c r="Z134" s="16">
        <f t="shared" ref="Z134:AA134" si="453">X134/X135-1</f>
        <v>1.4525248586469086E-2</v>
      </c>
      <c r="AA134" s="16">
        <f t="shared" si="453"/>
        <v>4.9839397493505189E-3</v>
      </c>
      <c r="AB134" s="16"/>
      <c r="AC134" s="53">
        <v>44888</v>
      </c>
      <c r="AD134" s="50">
        <v>1044.1500000000001</v>
      </c>
      <c r="AE134" s="50">
        <v>26561.89</v>
      </c>
      <c r="AF134" s="16">
        <f t="shared" ref="AF134:AG134" si="454">AD134/AD135-1</f>
        <v>-6.612120635524521E-3</v>
      </c>
      <c r="AG134" s="16">
        <f t="shared" si="454"/>
        <v>1.2624206510758462E-3</v>
      </c>
      <c r="AH134" s="16"/>
      <c r="AI134" s="53">
        <v>45246</v>
      </c>
      <c r="AJ134" s="50">
        <v>1206.3499999999999</v>
      </c>
      <c r="AK134" s="50">
        <v>29071.360000000001</v>
      </c>
      <c r="AL134" s="16">
        <f t="shared" ref="AL134:AM134" si="455">AJ134/AJ135-1</f>
        <v>2.7686672062018136E-2</v>
      </c>
      <c r="AM134" s="16">
        <f t="shared" si="455"/>
        <v>4.5397405250453549E-3</v>
      </c>
      <c r="AN134" s="16"/>
      <c r="AO134" s="53">
        <v>45615</v>
      </c>
      <c r="AP134" s="50">
        <v>1699.2</v>
      </c>
      <c r="AQ134" s="50">
        <v>34717.32</v>
      </c>
      <c r="AR134" s="16">
        <f t="shared" ref="AR134:AS134" si="456">AP134/AP135-1</f>
        <v>2.2751895991332649E-2</v>
      </c>
      <c r="AS134" s="16">
        <f t="shared" si="456"/>
        <v>-7.1688400823610721E-3</v>
      </c>
    </row>
    <row r="135" spans="1:45" ht="15">
      <c r="A135" s="53">
        <v>44154</v>
      </c>
      <c r="B135" s="48">
        <v>5.8799999999999998E-2</v>
      </c>
      <c r="C135" s="16"/>
      <c r="D135" s="53">
        <v>44522</v>
      </c>
      <c r="E135" s="48">
        <v>6.3299999999999995E-2</v>
      </c>
      <c r="F135" s="16"/>
      <c r="G135" s="53">
        <v>44887</v>
      </c>
      <c r="H135" s="48">
        <v>7.2999999999999995E-2</v>
      </c>
      <c r="I135" s="16"/>
      <c r="J135" s="53">
        <v>45251</v>
      </c>
      <c r="K135" s="48">
        <v>7.2700000000000001E-2</v>
      </c>
      <c r="L135" s="16"/>
      <c r="M135" s="53">
        <v>45615</v>
      </c>
      <c r="N135" s="48">
        <v>6.8400000000000002E-2</v>
      </c>
      <c r="O135" s="16"/>
      <c r="P135" s="16"/>
      <c r="Q135" s="53">
        <v>44153</v>
      </c>
      <c r="R135" s="49">
        <v>836.05</v>
      </c>
      <c r="S135" s="50">
        <v>18349.02</v>
      </c>
      <c r="T135" s="16">
        <f t="shared" ref="T135:U135" si="457">R135/R136-1</f>
        <v>-1.0942860522891285E-2</v>
      </c>
      <c r="U135" s="16">
        <f t="shared" si="457"/>
        <v>4.9725521039005738E-3</v>
      </c>
      <c r="V135" s="16"/>
      <c r="W135" s="53">
        <v>44522</v>
      </c>
      <c r="X135" s="50">
        <v>1538.7</v>
      </c>
      <c r="Y135" s="50">
        <v>24990.27</v>
      </c>
      <c r="Z135" s="16">
        <f t="shared" ref="Z135:AA135" si="458">X135/X136-1</f>
        <v>-1.7621145374449254E-2</v>
      </c>
      <c r="AA135" s="16">
        <f t="shared" si="458"/>
        <v>-1.9344486550566753E-2</v>
      </c>
      <c r="AB135" s="16"/>
      <c r="AC135" s="53">
        <v>44887</v>
      </c>
      <c r="AD135" s="50">
        <v>1051.0999999999999</v>
      </c>
      <c r="AE135" s="50">
        <v>26528.400000000001</v>
      </c>
      <c r="AF135" s="16">
        <f t="shared" ref="AF135:AG135" si="459">AD135/AD136-1</f>
        <v>8.4428667370237687E-3</v>
      </c>
      <c r="AG135" s="16">
        <f t="shared" si="459"/>
        <v>4.6391147432960356E-3</v>
      </c>
      <c r="AH135" s="16"/>
      <c r="AI135" s="53">
        <v>45245</v>
      </c>
      <c r="AJ135" s="50">
        <v>1173.8499999999999</v>
      </c>
      <c r="AK135" s="50">
        <v>28939.98</v>
      </c>
      <c r="AL135" s="16">
        <f t="shared" ref="AL135:AM135" si="460">AJ135/AJ136-1</f>
        <v>3.7657458563535862E-2</v>
      </c>
      <c r="AM135" s="16">
        <f t="shared" si="460"/>
        <v>-1.9154683206233925E-3</v>
      </c>
      <c r="AN135" s="16"/>
      <c r="AO135" s="53">
        <v>45614</v>
      </c>
      <c r="AP135" s="50">
        <v>1661.4</v>
      </c>
      <c r="AQ135" s="50">
        <v>34968</v>
      </c>
      <c r="AR135" s="16">
        <f t="shared" ref="AR135:AS135" si="461">AP135/AP136-1</f>
        <v>-1.4970503661103418E-2</v>
      </c>
      <c r="AS135" s="16">
        <f t="shared" si="461"/>
        <v>2.7756421414686372E-3</v>
      </c>
    </row>
    <row r="136" spans="1:45" ht="15">
      <c r="A136" s="53">
        <v>44153</v>
      </c>
      <c r="B136" s="48">
        <v>5.8799999999999998E-2</v>
      </c>
      <c r="C136" s="16"/>
      <c r="D136" s="53">
        <v>44518</v>
      </c>
      <c r="E136" s="48">
        <v>6.3700000000000007E-2</v>
      </c>
      <c r="F136" s="16"/>
      <c r="G136" s="53">
        <v>44886</v>
      </c>
      <c r="H136" s="48">
        <v>7.3300000000000004E-2</v>
      </c>
      <c r="I136" s="16"/>
      <c r="J136" s="53">
        <v>45250</v>
      </c>
      <c r="K136" s="48">
        <v>7.2400000000000006E-2</v>
      </c>
      <c r="L136" s="16"/>
      <c r="M136" s="53">
        <v>45614</v>
      </c>
      <c r="N136" s="48">
        <v>6.8599999999999994E-2</v>
      </c>
      <c r="O136" s="16"/>
      <c r="P136" s="16"/>
      <c r="Q136" s="53">
        <v>44152</v>
      </c>
      <c r="R136" s="49">
        <v>845.3</v>
      </c>
      <c r="S136" s="50">
        <v>18258.23</v>
      </c>
      <c r="T136" s="16">
        <f t="shared" ref="T136:U136" si="462">R136/R137-1</f>
        <v>7.568985040824705E-3</v>
      </c>
      <c r="U136" s="16">
        <f t="shared" si="462"/>
        <v>1.212842527262481E-2</v>
      </c>
      <c r="V136" s="16"/>
      <c r="W136" s="53">
        <v>44518</v>
      </c>
      <c r="X136" s="50">
        <v>1566.3</v>
      </c>
      <c r="Y136" s="50">
        <v>25483.23</v>
      </c>
      <c r="Z136" s="16">
        <f t="shared" ref="Z136:AA136" si="463">X136/X137-1</f>
        <v>-3.1893194882254838E-2</v>
      </c>
      <c r="AA136" s="16">
        <f t="shared" si="463"/>
        <v>-7.4768648345485689E-3</v>
      </c>
      <c r="AB136" s="16"/>
      <c r="AC136" s="53">
        <v>44886</v>
      </c>
      <c r="AD136" s="50">
        <v>1042.3</v>
      </c>
      <c r="AE136" s="50">
        <v>26405.9</v>
      </c>
      <c r="AF136" s="16">
        <f t="shared" ref="AF136:AG136" si="464">AD136/AD137-1</f>
        <v>-1.7810026385224331E-2</v>
      </c>
      <c r="AG136" s="16">
        <f t="shared" si="464"/>
        <v>-8.0655552220628701E-3</v>
      </c>
      <c r="AH136" s="16"/>
      <c r="AI136" s="53">
        <v>45243</v>
      </c>
      <c r="AJ136" s="50">
        <v>1131.25</v>
      </c>
      <c r="AK136" s="50">
        <v>28995.52</v>
      </c>
      <c r="AL136" s="16">
        <f t="shared" ref="AL136:AM136" si="465">AJ136/AJ137-1</f>
        <v>-6.1497913463650633E-3</v>
      </c>
      <c r="AM136" s="16">
        <f t="shared" si="465"/>
        <v>-1.6918772676285387E-3</v>
      </c>
      <c r="AN136" s="16"/>
      <c r="AO136" s="53">
        <v>45610</v>
      </c>
      <c r="AP136" s="50">
        <v>1686.65</v>
      </c>
      <c r="AQ136" s="50">
        <v>34871.21</v>
      </c>
      <c r="AR136" s="16">
        <f t="shared" ref="AR136:AS136" si="466">AP136/AP137-1</f>
        <v>6.3844386765714578E-3</v>
      </c>
      <c r="AS136" s="16">
        <f t="shared" si="466"/>
        <v>-3.3516746083283033E-3</v>
      </c>
    </row>
    <row r="137" spans="1:45" ht="15">
      <c r="A137" s="53">
        <v>44152</v>
      </c>
      <c r="B137" s="48">
        <v>5.8799999999999998E-2</v>
      </c>
      <c r="C137" s="16"/>
      <c r="D137" s="53">
        <v>44517</v>
      </c>
      <c r="E137" s="48">
        <v>6.3299999999999995E-2</v>
      </c>
      <c r="F137" s="16"/>
      <c r="G137" s="53">
        <v>44883</v>
      </c>
      <c r="H137" s="48">
        <v>7.3099999999999998E-2</v>
      </c>
      <c r="I137" s="16"/>
      <c r="J137" s="53">
        <v>45247</v>
      </c>
      <c r="K137" s="48">
        <v>7.1999999999999995E-2</v>
      </c>
      <c r="L137" s="16"/>
      <c r="M137" s="53">
        <v>45610</v>
      </c>
      <c r="N137" s="48">
        <v>6.8599999999999994E-2</v>
      </c>
      <c r="O137" s="16"/>
      <c r="P137" s="16"/>
      <c r="Q137" s="53">
        <v>44148</v>
      </c>
      <c r="R137" s="49">
        <v>838.95</v>
      </c>
      <c r="S137" s="50">
        <v>18039.439999999999</v>
      </c>
      <c r="T137" s="16">
        <f t="shared" ref="T137:U137" si="467">R137/R138-1</f>
        <v>-5.2762627460278821E-3</v>
      </c>
      <c r="U137" s="16">
        <f t="shared" si="467"/>
        <v>2.2963522280949888E-3</v>
      </c>
      <c r="V137" s="16"/>
      <c r="W137" s="53">
        <v>44517</v>
      </c>
      <c r="X137" s="50">
        <v>1617.9</v>
      </c>
      <c r="Y137" s="50">
        <v>25675.200000000001</v>
      </c>
      <c r="Z137" s="16">
        <f t="shared" ref="Z137:AA137" si="468">X137/X138-1</f>
        <v>1.0524343399644032E-2</v>
      </c>
      <c r="AA137" s="16">
        <f t="shared" si="468"/>
        <v>-5.5884140236697188E-3</v>
      </c>
      <c r="AB137" s="16"/>
      <c r="AC137" s="53">
        <v>44883</v>
      </c>
      <c r="AD137" s="50">
        <v>1061.2</v>
      </c>
      <c r="AE137" s="50">
        <v>26620.61</v>
      </c>
      <c r="AF137" s="16">
        <f t="shared" ref="AF137:AG137" si="469">AD137/AD138-1</f>
        <v>2.314049586776834E-3</v>
      </c>
      <c r="AG137" s="16">
        <f t="shared" si="469"/>
        <v>-1.9761319550771761E-3</v>
      </c>
      <c r="AH137" s="16"/>
      <c r="AI137" s="55">
        <v>45240</v>
      </c>
      <c r="AJ137" s="50">
        <v>1138.25</v>
      </c>
      <c r="AK137" s="50">
        <v>29044.66</v>
      </c>
      <c r="AL137" s="16">
        <f t="shared" ref="AL137:AM137" si="470">AJ137/AJ138-1</f>
        <v>1.2677935943060437E-2</v>
      </c>
      <c r="AM137" s="16">
        <f t="shared" si="470"/>
        <v>4.7725959725599676E-3</v>
      </c>
      <c r="AN137" s="16"/>
      <c r="AO137" s="53">
        <v>45609</v>
      </c>
      <c r="AP137" s="50">
        <v>1675.95</v>
      </c>
      <c r="AQ137" s="50">
        <v>34988.480000000003</v>
      </c>
      <c r="AR137" s="16">
        <f t="shared" ref="AR137:AS137" si="471">AP137/AP138-1</f>
        <v>-6.6678520625889082E-3</v>
      </c>
      <c r="AS137" s="16">
        <f t="shared" si="471"/>
        <v>-9.2658875706608246E-4</v>
      </c>
    </row>
    <row r="138" spans="1:45" ht="15">
      <c r="A138" s="53">
        <v>44150</v>
      </c>
      <c r="B138" s="48">
        <v>5.8799999999999998E-2</v>
      </c>
      <c r="C138" s="16"/>
      <c r="D138" s="53">
        <v>44516</v>
      </c>
      <c r="E138" s="48">
        <v>6.3399999999999998E-2</v>
      </c>
      <c r="F138" s="16"/>
      <c r="G138" s="53">
        <v>44882</v>
      </c>
      <c r="H138" s="48">
        <v>7.2800000000000004E-2</v>
      </c>
      <c r="I138" s="16"/>
      <c r="J138" s="53">
        <v>45246</v>
      </c>
      <c r="K138" s="48">
        <v>7.2300000000000003E-2</v>
      </c>
      <c r="L138" s="16"/>
      <c r="M138" s="53">
        <v>45609</v>
      </c>
      <c r="N138" s="48">
        <v>6.8400000000000002E-2</v>
      </c>
      <c r="O138" s="16"/>
      <c r="P138" s="16"/>
      <c r="Q138" s="56">
        <v>44147</v>
      </c>
      <c r="R138" s="49">
        <v>843.4</v>
      </c>
      <c r="S138" s="50">
        <v>17998.11</v>
      </c>
      <c r="T138" s="16">
        <f t="shared" ref="T138:U138" si="472">R138/R139-1</f>
        <v>6.9245463228271298E-3</v>
      </c>
      <c r="U138" s="16">
        <f t="shared" si="472"/>
        <v>-4.5755617548741689E-3</v>
      </c>
      <c r="V138" s="16"/>
      <c r="W138" s="53">
        <v>44516</v>
      </c>
      <c r="X138" s="50">
        <v>1601.05</v>
      </c>
      <c r="Y138" s="50">
        <v>25819.49</v>
      </c>
      <c r="Z138" s="16">
        <f t="shared" ref="Z138:AA138" si="473">X138/X139-1</f>
        <v>1.5572470662860827E-2</v>
      </c>
      <c r="AA138" s="16">
        <f t="shared" si="473"/>
        <v>-6.0867801156456736E-3</v>
      </c>
      <c r="AB138" s="16"/>
      <c r="AC138" s="53">
        <v>44882</v>
      </c>
      <c r="AD138" s="50">
        <v>1058.75</v>
      </c>
      <c r="AE138" s="50">
        <v>26673.32</v>
      </c>
      <c r="AF138" s="16">
        <f t="shared" ref="AF138:AG138" si="474">AD138/AD139-1</f>
        <v>-7.9643944717732174E-3</v>
      </c>
      <c r="AG138" s="16">
        <f t="shared" si="474"/>
        <v>-3.5724225268455312E-3</v>
      </c>
      <c r="AH138" s="16"/>
      <c r="AI138" s="51">
        <v>45239</v>
      </c>
      <c r="AJ138" s="50">
        <v>1124</v>
      </c>
      <c r="AK138" s="50">
        <v>28906.7</v>
      </c>
      <c r="AL138" s="16">
        <f t="shared" ref="AL138:AM138" si="475">AJ138/AJ139-1</f>
        <v>-1.3299389895975122E-2</v>
      </c>
      <c r="AM138" s="16">
        <f t="shared" si="475"/>
        <v>1.1928537297026809E-2</v>
      </c>
      <c r="AN138" s="16"/>
      <c r="AO138" s="55">
        <v>45608</v>
      </c>
      <c r="AP138" s="50">
        <v>1687.2</v>
      </c>
      <c r="AQ138" s="50">
        <v>35020.93</v>
      </c>
      <c r="AR138" s="16">
        <f t="shared" ref="AR138:AS138" si="476">AP138/AP139-1</f>
        <v>-9.4522397698584282E-3</v>
      </c>
      <c r="AS138" s="16">
        <f t="shared" si="476"/>
        <v>-1.3581345408895218E-2</v>
      </c>
    </row>
    <row r="139" spans="1:45" ht="15">
      <c r="A139" s="53">
        <v>44148</v>
      </c>
      <c r="B139" s="48">
        <v>5.8799999999999998E-2</v>
      </c>
      <c r="C139" s="16"/>
      <c r="D139" s="53">
        <v>44515</v>
      </c>
      <c r="E139" s="48">
        <v>6.3700000000000007E-2</v>
      </c>
      <c r="F139" s="16"/>
      <c r="G139" s="53">
        <v>44881</v>
      </c>
      <c r="H139" s="48">
        <v>7.2700000000000001E-2</v>
      </c>
      <c r="I139" s="16"/>
      <c r="J139" s="53">
        <v>45245</v>
      </c>
      <c r="K139" s="48">
        <v>7.2300000000000003E-2</v>
      </c>
      <c r="L139" s="16"/>
      <c r="M139" s="55">
        <v>45608</v>
      </c>
      <c r="N139" s="48">
        <v>6.8400000000000002E-2</v>
      </c>
      <c r="O139" s="16"/>
      <c r="P139" s="16"/>
      <c r="Q139" s="56">
        <v>44146</v>
      </c>
      <c r="R139" s="49">
        <v>837.6</v>
      </c>
      <c r="S139" s="50">
        <v>18080.84</v>
      </c>
      <c r="T139" s="16">
        <f t="shared" ref="T139:U139" si="477">R139/R140-1</f>
        <v>1.9970774476375963E-2</v>
      </c>
      <c r="U139" s="16">
        <f t="shared" si="477"/>
        <v>9.3471926044190745E-3</v>
      </c>
      <c r="V139" s="16"/>
      <c r="W139" s="53">
        <v>44515</v>
      </c>
      <c r="X139" s="50">
        <v>1576.5</v>
      </c>
      <c r="Y139" s="50">
        <v>25977.61</v>
      </c>
      <c r="Z139" s="16">
        <f t="shared" ref="Z139:AA139" si="478">X139/X140-1</f>
        <v>-5.3941516040503235E-3</v>
      </c>
      <c r="AA139" s="16">
        <f t="shared" si="478"/>
        <v>3.6930039333005205E-4</v>
      </c>
      <c r="AB139" s="16"/>
      <c r="AC139" s="53">
        <v>44881</v>
      </c>
      <c r="AD139" s="50">
        <v>1067.25</v>
      </c>
      <c r="AE139" s="50">
        <v>26768.95</v>
      </c>
      <c r="AF139" s="16">
        <f t="shared" ref="AF139:AG139" si="479">AD139/AD140-1</f>
        <v>5.1560888722224085E-4</v>
      </c>
      <c r="AG139" s="16">
        <f t="shared" si="479"/>
        <v>3.4006169690803389E-4</v>
      </c>
      <c r="AH139" s="16"/>
      <c r="AI139" s="51">
        <v>45238</v>
      </c>
      <c r="AJ139" s="50">
        <v>1139.1500000000001</v>
      </c>
      <c r="AK139" s="50">
        <v>28565.95</v>
      </c>
      <c r="AL139" s="16">
        <f t="shared" ref="AL139:AM139" si="480">AJ139/AJ140-1</f>
        <v>-8.2274072784257468E-3</v>
      </c>
      <c r="AM139" s="16">
        <f t="shared" si="480"/>
        <v>-4.2012837410807524E-3</v>
      </c>
      <c r="AN139" s="16"/>
      <c r="AO139" s="55">
        <v>45607</v>
      </c>
      <c r="AP139" s="50">
        <v>1703.3</v>
      </c>
      <c r="AQ139" s="50">
        <v>35503.11</v>
      </c>
      <c r="AR139" s="16">
        <f t="shared" ref="AR139:AS139" si="481">AP139/AP140-1</f>
        <v>1.2362555720653701E-2</v>
      </c>
      <c r="AS139" s="16">
        <f t="shared" si="481"/>
        <v>-1.0681199183423584E-2</v>
      </c>
    </row>
    <row r="140" spans="1:45" ht="15">
      <c r="A140" s="55">
        <v>44147</v>
      </c>
      <c r="B140" s="48">
        <v>5.91E-2</v>
      </c>
      <c r="C140" s="16"/>
      <c r="D140" s="55">
        <v>44512</v>
      </c>
      <c r="E140" s="48">
        <v>6.4500000000000002E-2</v>
      </c>
      <c r="F140" s="16"/>
      <c r="G140" s="53">
        <v>44880</v>
      </c>
      <c r="H140" s="48">
        <v>7.2599999999999998E-2</v>
      </c>
      <c r="I140" s="16"/>
      <c r="J140" s="53">
        <v>45243</v>
      </c>
      <c r="K140" s="48">
        <v>7.2900000000000006E-2</v>
      </c>
      <c r="L140" s="16"/>
      <c r="M140" s="55">
        <v>45607</v>
      </c>
      <c r="N140" s="48">
        <v>6.8199999999999997E-2</v>
      </c>
      <c r="O140" s="16"/>
      <c r="P140" s="16"/>
      <c r="Q140" s="56">
        <v>44145</v>
      </c>
      <c r="R140" s="49">
        <v>821.2</v>
      </c>
      <c r="S140" s="50">
        <v>17913.400000000001</v>
      </c>
      <c r="T140" s="16">
        <f t="shared" ref="T140:U140" si="482">R140/R141-1</f>
        <v>-5.8472827333180488E-2</v>
      </c>
      <c r="U140" s="16">
        <f t="shared" si="482"/>
        <v>1.3645687447835009E-2</v>
      </c>
      <c r="V140" s="16"/>
      <c r="W140" s="55">
        <v>44512</v>
      </c>
      <c r="X140" s="50">
        <v>1585.05</v>
      </c>
      <c r="Y140" s="50">
        <v>25968.02</v>
      </c>
      <c r="Z140" s="16">
        <f t="shared" ref="Z140:AA140" si="483">X140/X141-1</f>
        <v>4.0605304621848637E-2</v>
      </c>
      <c r="AA140" s="16">
        <f t="shared" si="483"/>
        <v>1.2820152796564122E-2</v>
      </c>
      <c r="AB140" s="16"/>
      <c r="AC140" s="53">
        <v>44880</v>
      </c>
      <c r="AD140" s="50">
        <v>1066.7</v>
      </c>
      <c r="AE140" s="50">
        <v>26759.85</v>
      </c>
      <c r="AF140" s="16">
        <f t="shared" ref="AF140:AG140" si="484">AD140/AD141-1</f>
        <v>7.9748557489334182E-4</v>
      </c>
      <c r="AG140" s="16">
        <f t="shared" si="484"/>
        <v>4.0492377099894394E-3</v>
      </c>
      <c r="AH140" s="16"/>
      <c r="AI140" s="51">
        <v>45237</v>
      </c>
      <c r="AJ140" s="50">
        <v>1148.5999999999999</v>
      </c>
      <c r="AK140" s="50">
        <v>28686.47</v>
      </c>
      <c r="AL140" s="16">
        <f t="shared" ref="AL140:AM140" si="485">AJ140/AJ141-1</f>
        <v>5.0312814455091281E-3</v>
      </c>
      <c r="AM140" s="16">
        <f t="shared" si="485"/>
        <v>5.1588619738998087E-3</v>
      </c>
      <c r="AN140" s="16"/>
      <c r="AO140" s="51">
        <v>45604</v>
      </c>
      <c r="AP140" s="50">
        <v>1682.5</v>
      </c>
      <c r="AQ140" s="50">
        <v>35886.42</v>
      </c>
      <c r="AR140" s="16">
        <f t="shared" ref="AR140:AS140" si="486">AP140/AP141-1</f>
        <v>1.901762461389378E-2</v>
      </c>
      <c r="AS140" s="16">
        <f t="shared" si="486"/>
        <v>-2.8665579658970763E-4</v>
      </c>
    </row>
    <row r="141" spans="1:45" ht="15">
      <c r="A141" s="55">
        <v>44146</v>
      </c>
      <c r="B141" s="48">
        <v>5.91E-2</v>
      </c>
      <c r="C141" s="16"/>
      <c r="D141" s="55">
        <v>44511</v>
      </c>
      <c r="E141" s="48">
        <v>6.3700000000000007E-2</v>
      </c>
      <c r="F141" s="16"/>
      <c r="G141" s="53">
        <v>44879</v>
      </c>
      <c r="H141" s="48">
        <v>7.2999999999999995E-2</v>
      </c>
      <c r="I141" s="16"/>
      <c r="J141" s="55">
        <v>45240</v>
      </c>
      <c r="K141" s="48">
        <v>7.2999999999999995E-2</v>
      </c>
      <c r="L141" s="16"/>
      <c r="M141" s="51">
        <v>45604</v>
      </c>
      <c r="N141" s="48">
        <v>6.7699999999999996E-2</v>
      </c>
      <c r="O141" s="16"/>
      <c r="P141" s="16"/>
      <c r="Q141" s="56">
        <v>44144</v>
      </c>
      <c r="R141" s="49">
        <v>872.2</v>
      </c>
      <c r="S141" s="50">
        <v>17672.25</v>
      </c>
      <c r="T141" s="16">
        <f t="shared" ref="T141:U141" si="487">R141/R142-1</f>
        <v>2.4972090017039816E-2</v>
      </c>
      <c r="U141" s="16">
        <f t="shared" si="487"/>
        <v>1.6105551128268392E-2</v>
      </c>
      <c r="V141" s="16"/>
      <c r="W141" s="55">
        <v>44511</v>
      </c>
      <c r="X141" s="50">
        <v>1523.2</v>
      </c>
      <c r="Y141" s="50">
        <v>25639.32</v>
      </c>
      <c r="Z141" s="16">
        <f t="shared" ref="Z141:AA141" si="488">X141/X142-1</f>
        <v>-2.6957966015076051E-2</v>
      </c>
      <c r="AA141" s="16">
        <f t="shared" si="488"/>
        <v>-7.7459019089788361E-3</v>
      </c>
      <c r="AB141" s="16"/>
      <c r="AC141" s="53">
        <v>44879</v>
      </c>
      <c r="AD141" s="50">
        <v>1065.8499999999999</v>
      </c>
      <c r="AE141" s="50">
        <v>26651.93</v>
      </c>
      <c r="AF141" s="16">
        <f t="shared" ref="AF141:AG141" si="489">AD141/AD142-1</f>
        <v>6.8486680521442356E-3</v>
      </c>
      <c r="AG141" s="16">
        <f t="shared" si="489"/>
        <v>-1.1179922164054057E-3</v>
      </c>
      <c r="AH141" s="16"/>
      <c r="AI141" s="51">
        <v>45236</v>
      </c>
      <c r="AJ141" s="50">
        <v>1142.8499999999999</v>
      </c>
      <c r="AK141" s="50">
        <v>28539.24</v>
      </c>
      <c r="AL141" s="16">
        <f t="shared" ref="AL141:AM141" si="490">AJ141/AJ142-1</f>
        <v>8.7382497021049055E-3</v>
      </c>
      <c r="AM141" s="16">
        <f t="shared" si="490"/>
        <v>1.5497412184839465E-3</v>
      </c>
      <c r="AN141" s="16"/>
      <c r="AO141" s="51">
        <v>45603</v>
      </c>
      <c r="AP141" s="50">
        <v>1651.1</v>
      </c>
      <c r="AQ141" s="50">
        <v>35896.71</v>
      </c>
      <c r="AR141" s="16">
        <f t="shared" ref="AR141:AS141" si="491">AP141/AP142-1</f>
        <v>-2.4950541825375705E-2</v>
      </c>
      <c r="AS141" s="16">
        <f t="shared" si="491"/>
        <v>-2.1135448675858592E-3</v>
      </c>
    </row>
    <row r="142" spans="1:45" ht="15">
      <c r="A142" s="55">
        <v>44145</v>
      </c>
      <c r="B142" s="48">
        <v>5.9200000000000003E-2</v>
      </c>
      <c r="C142" s="16"/>
      <c r="D142" s="55">
        <v>44510</v>
      </c>
      <c r="E142" s="48">
        <v>6.3299999999999995E-2</v>
      </c>
      <c r="F142" s="16"/>
      <c r="G142" s="55">
        <v>44876</v>
      </c>
      <c r="H142" s="48">
        <v>7.3099999999999998E-2</v>
      </c>
      <c r="I142" s="16"/>
      <c r="J142" s="51">
        <v>45239</v>
      </c>
      <c r="K142" s="48">
        <v>7.2499999999999995E-2</v>
      </c>
      <c r="L142" s="16"/>
      <c r="M142" s="51">
        <v>45603</v>
      </c>
      <c r="N142" s="48">
        <v>6.83E-2</v>
      </c>
      <c r="O142" s="16"/>
      <c r="P142" s="16"/>
      <c r="Q142" s="55">
        <v>44141</v>
      </c>
      <c r="R142" s="49">
        <v>850.95</v>
      </c>
      <c r="S142" s="50">
        <v>17392.14</v>
      </c>
      <c r="T142" s="16">
        <f t="shared" ref="T142:U142" si="492">R142/R143-1</f>
        <v>1.1951480556546601E-2</v>
      </c>
      <c r="U142" s="16">
        <f t="shared" si="492"/>
        <v>1.1816257229174676E-2</v>
      </c>
      <c r="V142" s="16"/>
      <c r="W142" s="55">
        <v>44510</v>
      </c>
      <c r="X142" s="50">
        <v>1565.4</v>
      </c>
      <c r="Y142" s="50">
        <v>25839.47</v>
      </c>
      <c r="Z142" s="16">
        <f t="shared" ref="Z142:AA142" si="493">X142/X143-1</f>
        <v>4.0407927650569775E-3</v>
      </c>
      <c r="AA142" s="16">
        <f t="shared" si="493"/>
        <v>-1.4997132730613094E-3</v>
      </c>
      <c r="AB142" s="16"/>
      <c r="AC142" s="55">
        <v>44876</v>
      </c>
      <c r="AD142" s="50">
        <v>1058.5999999999999</v>
      </c>
      <c r="AE142" s="50">
        <v>26681.759999999998</v>
      </c>
      <c r="AF142" s="16">
        <f t="shared" ref="AF142:AG142" si="494">AD142/AD143-1</f>
        <v>3.6369866366439796E-2</v>
      </c>
      <c r="AG142" s="16">
        <f t="shared" si="494"/>
        <v>1.7831863589009123E-2</v>
      </c>
      <c r="AH142" s="16"/>
      <c r="AI142" s="51">
        <v>45233</v>
      </c>
      <c r="AJ142" s="50">
        <v>1132.95</v>
      </c>
      <c r="AK142" s="50">
        <v>28495.08</v>
      </c>
      <c r="AL142" s="16">
        <f t="shared" ref="AL142:AM142" si="495">AJ142/AJ143-1</f>
        <v>1.5279146876960192E-2</v>
      </c>
      <c r="AM142" s="16">
        <f t="shared" si="495"/>
        <v>-2.4777829198910917E-3</v>
      </c>
      <c r="AN142" s="16"/>
      <c r="AO142" s="51">
        <v>45602</v>
      </c>
      <c r="AP142" s="50">
        <v>1693.35</v>
      </c>
      <c r="AQ142" s="50">
        <v>35972.74</v>
      </c>
      <c r="AR142" s="16">
        <f t="shared" ref="AR142:AS142" si="496">AP142/AP143-1</f>
        <v>3.6829537105069754E-2</v>
      </c>
      <c r="AS142" s="16">
        <f t="shared" si="496"/>
        <v>-1.1570911019306851E-2</v>
      </c>
    </row>
    <row r="143" spans="1:45" ht="15">
      <c r="A143" s="51">
        <v>44144</v>
      </c>
      <c r="B143" s="48">
        <v>5.8799999999999998E-2</v>
      </c>
      <c r="C143" s="16"/>
      <c r="D143" s="51">
        <v>44509</v>
      </c>
      <c r="E143" s="48">
        <v>6.3299999999999995E-2</v>
      </c>
      <c r="F143" s="16"/>
      <c r="G143" s="55">
        <v>44875</v>
      </c>
      <c r="H143" s="48">
        <v>7.3499999999999996E-2</v>
      </c>
      <c r="I143" s="16"/>
      <c r="J143" s="51">
        <v>45238</v>
      </c>
      <c r="K143" s="48">
        <v>7.2700000000000001E-2</v>
      </c>
      <c r="L143" s="16"/>
      <c r="M143" s="51">
        <v>45602</v>
      </c>
      <c r="N143" s="48">
        <v>6.83E-2</v>
      </c>
      <c r="O143" s="16"/>
      <c r="P143" s="16"/>
      <c r="Q143" s="51">
        <v>44140</v>
      </c>
      <c r="R143" s="49">
        <v>840.9</v>
      </c>
      <c r="S143" s="50">
        <v>17189.03</v>
      </c>
      <c r="T143" s="16">
        <f t="shared" ref="T143:U143" si="497">R143/R144-1</f>
        <v>1.7607551279724021E-2</v>
      </c>
      <c r="U143" s="16">
        <f t="shared" si="497"/>
        <v>1.7785909471745631E-2</v>
      </c>
      <c r="V143" s="16"/>
      <c r="W143" s="51">
        <v>44509</v>
      </c>
      <c r="X143" s="50">
        <v>1559.1</v>
      </c>
      <c r="Y143" s="50">
        <v>25878.28</v>
      </c>
      <c r="Z143" s="16">
        <f t="shared" ref="Z143:AA143" si="498">X143/X144-1</f>
        <v>1.7025924379194812E-3</v>
      </c>
      <c r="AA143" s="16">
        <f t="shared" si="498"/>
        <v>-1.3433365144798204E-3</v>
      </c>
      <c r="AB143" s="16"/>
      <c r="AC143" s="55">
        <v>44875</v>
      </c>
      <c r="AD143" s="50">
        <v>1021.45</v>
      </c>
      <c r="AE143" s="50">
        <v>26214.31</v>
      </c>
      <c r="AF143" s="16">
        <f t="shared" ref="AF143:AG143" si="499">AD143/AD144-1</f>
        <v>-7.4336799144882892E-3</v>
      </c>
      <c r="AG143" s="16">
        <f t="shared" si="499"/>
        <v>-7.0931360926126397E-3</v>
      </c>
      <c r="AH143" s="16"/>
      <c r="AI143" s="51">
        <v>45232</v>
      </c>
      <c r="AJ143" s="50">
        <v>1115.9000000000001</v>
      </c>
      <c r="AK143" s="50">
        <v>28565.86</v>
      </c>
      <c r="AL143" s="16">
        <f t="shared" ref="AL143:AM143" si="500">AJ143/AJ144-1</f>
        <v>-7.7801982839105222E-3</v>
      </c>
      <c r="AM143" s="16">
        <f t="shared" si="500"/>
        <v>1.8957056742452405E-3</v>
      </c>
      <c r="AN143" s="16"/>
      <c r="AO143" s="51">
        <v>45601</v>
      </c>
      <c r="AP143" s="50">
        <v>1633.2</v>
      </c>
      <c r="AQ143" s="50">
        <v>36393.85</v>
      </c>
      <c r="AR143" s="16">
        <f t="shared" ref="AR143:AS143" si="501">AP143/AP144-1</f>
        <v>-3.1129829701519451E-3</v>
      </c>
      <c r="AS143" s="16">
        <f t="shared" si="501"/>
        <v>1.1419016112070857E-2</v>
      </c>
    </row>
    <row r="144" spans="1:45" ht="15">
      <c r="A144" s="51">
        <v>44141</v>
      </c>
      <c r="B144" s="48">
        <v>5.8599999999999999E-2</v>
      </c>
      <c r="C144" s="16"/>
      <c r="D144" s="51">
        <v>44508</v>
      </c>
      <c r="E144" s="48">
        <v>6.3299999999999995E-2</v>
      </c>
      <c r="F144" s="16"/>
      <c r="G144" s="51">
        <v>44874</v>
      </c>
      <c r="H144" s="48">
        <v>7.3899999999999993E-2</v>
      </c>
      <c r="I144" s="16"/>
      <c r="J144" s="51">
        <v>45237</v>
      </c>
      <c r="K144" s="48">
        <v>7.2999999999999995E-2</v>
      </c>
      <c r="L144" s="16"/>
      <c r="M144" s="51">
        <v>45601</v>
      </c>
      <c r="N144" s="48">
        <v>6.83E-2</v>
      </c>
      <c r="O144" s="16"/>
      <c r="P144" s="16"/>
      <c r="Q144" s="51">
        <v>44139</v>
      </c>
      <c r="R144" s="49">
        <v>826.35</v>
      </c>
      <c r="S144" s="50">
        <v>16888.650000000001</v>
      </c>
      <c r="T144" s="16">
        <f t="shared" ref="T144:U144" si="502">R144/R145-1</f>
        <v>2.1572505872172076E-2</v>
      </c>
      <c r="U144" s="16">
        <f t="shared" si="502"/>
        <v>8.4732858614358086E-3</v>
      </c>
      <c r="V144" s="16"/>
      <c r="W144" s="51">
        <v>44508</v>
      </c>
      <c r="X144" s="50">
        <v>1556.45</v>
      </c>
      <c r="Y144" s="50">
        <v>25913.09</v>
      </c>
      <c r="Z144" s="16">
        <f t="shared" ref="Z144:AA144" si="503">X144/X145-1</f>
        <v>3.3636605126842856E-2</v>
      </c>
      <c r="AA144" s="16">
        <f t="shared" si="503"/>
        <v>1.3423225625795343E-2</v>
      </c>
      <c r="AB144" s="16"/>
      <c r="AC144" s="51">
        <v>44874</v>
      </c>
      <c r="AD144" s="50">
        <v>1029.0999999999999</v>
      </c>
      <c r="AE144" s="50">
        <v>26401.58</v>
      </c>
      <c r="AF144" s="16">
        <f t="shared" ref="AF144:AG144" si="504">AD144/AD145-1</f>
        <v>-2.3207251672915374E-2</v>
      </c>
      <c r="AG144" s="16">
        <f t="shared" si="504"/>
        <v>-2.3752628054852787E-3</v>
      </c>
      <c r="AH144" s="16"/>
      <c r="AI144" s="51">
        <v>45231</v>
      </c>
      <c r="AJ144" s="50">
        <v>1124.6500000000001</v>
      </c>
      <c r="AK144" s="50">
        <v>28511.81</v>
      </c>
      <c r="AL144" s="16">
        <f t="shared" ref="AL144:AM144" si="505">AJ144/AJ145-1</f>
        <v>-7.5012134315844969E-3</v>
      </c>
      <c r="AM144" s="16">
        <f t="shared" si="505"/>
        <v>-2.6087642557215407E-4</v>
      </c>
      <c r="AN144" s="16"/>
      <c r="AO144" s="51">
        <v>45600</v>
      </c>
      <c r="AP144" s="50">
        <v>1638.3</v>
      </c>
      <c r="AQ144" s="50">
        <v>35982.959999999999</v>
      </c>
      <c r="AR144" s="16">
        <f t="shared" ref="AR144:AS144" si="506">AP144/AP145-1</f>
        <v>2.1447721179624679E-2</v>
      </c>
      <c r="AS144" s="16">
        <f t="shared" si="506"/>
        <v>9.082962623534474E-3</v>
      </c>
    </row>
    <row r="145" spans="1:45" ht="15">
      <c r="A145" s="51">
        <v>44140</v>
      </c>
      <c r="B145" s="48">
        <v>5.8599999999999999E-2</v>
      </c>
      <c r="C145" s="16"/>
      <c r="D145" s="51">
        <v>44504</v>
      </c>
      <c r="E145" s="48">
        <v>6.3700000000000007E-2</v>
      </c>
      <c r="F145" s="16"/>
      <c r="G145" s="51">
        <v>44872</v>
      </c>
      <c r="H145" s="48">
        <v>7.4399999999999994E-2</v>
      </c>
      <c r="I145" s="16"/>
      <c r="J145" s="51">
        <v>45236</v>
      </c>
      <c r="K145" s="48">
        <v>7.2999999999999995E-2</v>
      </c>
      <c r="L145" s="16"/>
      <c r="M145" s="51">
        <v>45600</v>
      </c>
      <c r="N145" s="48">
        <v>6.83E-2</v>
      </c>
      <c r="O145" s="16"/>
      <c r="P145" s="16"/>
      <c r="Q145" s="51">
        <v>44138</v>
      </c>
      <c r="R145" s="49">
        <v>808.9</v>
      </c>
      <c r="S145" s="50">
        <v>16746.75</v>
      </c>
      <c r="T145" s="16">
        <f t="shared" ref="T145:U145" si="507">R145/R146-1</f>
        <v>-6.387421692666817E-3</v>
      </c>
      <c r="U145" s="16">
        <f t="shared" si="507"/>
        <v>1.2372688319727487E-2</v>
      </c>
      <c r="V145" s="16"/>
      <c r="W145" s="51">
        <v>44504</v>
      </c>
      <c r="X145" s="50">
        <v>1505.8</v>
      </c>
      <c r="Y145" s="50">
        <v>25569.86</v>
      </c>
      <c r="Z145" s="16">
        <f t="shared" ref="Z145:AA145" si="508">X145/X146-1</f>
        <v>5.6097235207692719E-3</v>
      </c>
      <c r="AA145" s="16">
        <f t="shared" si="508"/>
        <v>-3.3384641349947231E-3</v>
      </c>
      <c r="AB145" s="16"/>
      <c r="AC145" s="51">
        <v>44872</v>
      </c>
      <c r="AD145" s="50">
        <v>1053.55</v>
      </c>
      <c r="AE145" s="50">
        <v>26464.44</v>
      </c>
      <c r="AF145" s="16">
        <f t="shared" ref="AF145:AG145" si="509">AD145/AD146-1</f>
        <v>-1.4235550915830952E-4</v>
      </c>
      <c r="AG145" s="16">
        <f t="shared" si="509"/>
        <v>4.7281880341230043E-3</v>
      </c>
      <c r="AH145" s="16"/>
      <c r="AI145" s="53">
        <v>45230</v>
      </c>
      <c r="AJ145" s="50">
        <v>1133.1500000000001</v>
      </c>
      <c r="AK145" s="50">
        <v>28519.25</v>
      </c>
      <c r="AL145" s="16">
        <f t="shared" ref="AL145:AM145" si="510">AJ145/AJ146-1</f>
        <v>5.5908062297556071E-3</v>
      </c>
      <c r="AM145" s="16">
        <f t="shared" si="510"/>
        <v>9.4205624942262922E-3</v>
      </c>
      <c r="AN145" s="16"/>
      <c r="AO145" s="51">
        <v>45597</v>
      </c>
      <c r="AP145" s="50">
        <v>1603.9</v>
      </c>
      <c r="AQ145" s="50">
        <v>35659.07</v>
      </c>
      <c r="AR145" s="16">
        <f t="shared" ref="AR145:AS145" si="511">AP145/AP146-1</f>
        <v>-2.704803357686858E-3</v>
      </c>
      <c r="AS145" s="16">
        <f t="shared" si="511"/>
        <v>-1.2713240536293968E-2</v>
      </c>
    </row>
    <row r="146" spans="1:45" ht="15">
      <c r="A146" s="51">
        <v>44139</v>
      </c>
      <c r="B146" s="48">
        <v>5.8900000000000001E-2</v>
      </c>
      <c r="C146" s="16"/>
      <c r="D146" s="51">
        <v>44503</v>
      </c>
      <c r="E146" s="48">
        <v>6.3700000000000007E-2</v>
      </c>
      <c r="F146" s="16"/>
      <c r="G146" s="51">
        <v>44869</v>
      </c>
      <c r="H146" s="48">
        <v>7.4700000000000003E-2</v>
      </c>
      <c r="I146" s="16"/>
      <c r="J146" s="51">
        <v>45233</v>
      </c>
      <c r="K146" s="48">
        <v>7.3200000000000001E-2</v>
      </c>
      <c r="L146" s="16"/>
      <c r="M146" s="53">
        <v>45596</v>
      </c>
      <c r="N146" s="48">
        <v>6.83E-2</v>
      </c>
      <c r="O146" s="16"/>
      <c r="P146" s="16"/>
      <c r="Q146" s="51">
        <v>44137</v>
      </c>
      <c r="R146" s="49">
        <v>814.1</v>
      </c>
      <c r="S146" s="50">
        <v>16542.080000000002</v>
      </c>
      <c r="T146" s="16">
        <f t="shared" ref="T146:U146" si="512">R146/R147-1</f>
        <v>4.915816640038706E-4</v>
      </c>
      <c r="U146" s="16">
        <f t="shared" si="512"/>
        <v>2.297602543843702E-3</v>
      </c>
      <c r="V146" s="16"/>
      <c r="W146" s="51">
        <v>44503</v>
      </c>
      <c r="X146" s="50">
        <v>1497.4</v>
      </c>
      <c r="Y146" s="50">
        <v>25655.51</v>
      </c>
      <c r="Z146" s="16">
        <f t="shared" ref="Z146:AA146" si="513">X146/X147-1</f>
        <v>4.6967257112184857E-3</v>
      </c>
      <c r="AA146" s="16">
        <f t="shared" si="513"/>
        <v>-2.1504581732190164E-3</v>
      </c>
      <c r="AB146" s="16"/>
      <c r="AC146" s="51">
        <v>44869</v>
      </c>
      <c r="AD146" s="50">
        <v>1053.7</v>
      </c>
      <c r="AE146" s="50">
        <v>26339.9</v>
      </c>
      <c r="AF146" s="16">
        <f t="shared" ref="AF146:AG146" si="514">AD146/AD147-1</f>
        <v>7.1228453392846447E-4</v>
      </c>
      <c r="AG146" s="16">
        <f t="shared" si="514"/>
        <v>3.5688935134685629E-3</v>
      </c>
      <c r="AH146" s="16"/>
      <c r="AI146" s="53">
        <v>45229</v>
      </c>
      <c r="AJ146" s="50">
        <v>1126.8499999999999</v>
      </c>
      <c r="AK146" s="50">
        <v>28253.09</v>
      </c>
      <c r="AL146" s="16">
        <f t="shared" ref="AL146:AM146" si="515">AJ146/AJ147-1</f>
        <v>5.5325034578144194E-3</v>
      </c>
      <c r="AM146" s="16">
        <f t="shared" si="515"/>
        <v>5.242343648541592E-3</v>
      </c>
      <c r="AN146" s="16"/>
      <c r="AO146" s="53">
        <v>45596</v>
      </c>
      <c r="AP146" s="50">
        <v>1608.25</v>
      </c>
      <c r="AQ146" s="50">
        <v>36118.25</v>
      </c>
      <c r="AR146" s="16">
        <f t="shared" ref="AR146:AS146" si="516">AP146/AP147-1</f>
        <v>-4.5435660018993351E-2</v>
      </c>
      <c r="AS146" s="16">
        <f t="shared" si="516"/>
        <v>4.08966743895256E-3</v>
      </c>
    </row>
    <row r="147" spans="1:45" ht="15">
      <c r="A147" s="51">
        <v>44138</v>
      </c>
      <c r="B147" s="48">
        <v>5.8999999999999997E-2</v>
      </c>
      <c r="C147" s="16"/>
      <c r="D147" s="51">
        <v>44502</v>
      </c>
      <c r="E147" s="48">
        <v>6.3799999999999996E-2</v>
      </c>
      <c r="F147" s="16"/>
      <c r="G147" s="51">
        <v>44868</v>
      </c>
      <c r="H147" s="48">
        <v>7.4800000000000005E-2</v>
      </c>
      <c r="I147" s="16"/>
      <c r="J147" s="51">
        <v>45232</v>
      </c>
      <c r="K147" s="48">
        <v>7.3300000000000004E-2</v>
      </c>
      <c r="L147" s="16"/>
      <c r="M147" s="53">
        <v>45595</v>
      </c>
      <c r="N147" s="48">
        <v>6.8400000000000002E-2</v>
      </c>
      <c r="O147" s="16"/>
      <c r="P147" s="16"/>
      <c r="Q147" s="54">
        <v>44134</v>
      </c>
      <c r="R147" s="49">
        <v>813.7</v>
      </c>
      <c r="S147" s="50">
        <v>16504.16</v>
      </c>
      <c r="T147" s="16">
        <f t="shared" ref="T147:U147" si="517">R147/R148-1</f>
        <v>1.0242721460053339E-2</v>
      </c>
      <c r="U147" s="16">
        <f t="shared" si="517"/>
        <v>-2.4352577450444945E-3</v>
      </c>
      <c r="V147" s="16"/>
      <c r="W147" s="51">
        <v>44502</v>
      </c>
      <c r="X147" s="50">
        <v>1490.4</v>
      </c>
      <c r="Y147" s="50">
        <v>25710.799999999999</v>
      </c>
      <c r="Z147" s="16">
        <f t="shared" ref="Z147:AA147" si="518">X147/X148-1</f>
        <v>-2.1180179292680568E-2</v>
      </c>
      <c r="AA147" s="16">
        <f t="shared" si="518"/>
        <v>1.4599758571443688E-2</v>
      </c>
      <c r="AB147" s="16"/>
      <c r="AC147" s="51">
        <v>44868</v>
      </c>
      <c r="AD147" s="50">
        <v>1052.95</v>
      </c>
      <c r="AE147" s="50">
        <v>26246.23</v>
      </c>
      <c r="AF147" s="16">
        <f t="shared" ref="AF147:AG147" si="519">AD147/AD148-1</f>
        <v>-2.6578533789405556E-2</v>
      </c>
      <c r="AG147" s="16">
        <f t="shared" si="519"/>
        <v>-1.6652713331032354E-3</v>
      </c>
      <c r="AH147" s="16"/>
      <c r="AI147" s="53">
        <v>45226</v>
      </c>
      <c r="AJ147" s="50">
        <v>1120.6500000000001</v>
      </c>
      <c r="AK147" s="50">
        <v>28105.75</v>
      </c>
      <c r="AL147" s="16">
        <f t="shared" ref="AL147:AM147" si="520">AJ147/AJ148-1</f>
        <v>4.1666666666666519E-3</v>
      </c>
      <c r="AM147" s="16">
        <f t="shared" si="520"/>
        <v>7.8716241415119903E-3</v>
      </c>
      <c r="AN147" s="16"/>
      <c r="AO147" s="53">
        <v>45595</v>
      </c>
      <c r="AP147" s="50">
        <v>1684.8</v>
      </c>
      <c r="AQ147" s="50">
        <v>35971.14</v>
      </c>
      <c r="AR147" s="16">
        <f t="shared" ref="AR147:AS147" si="521">AP147/AP148-1</f>
        <v>-6.4866139874985018E-3</v>
      </c>
      <c r="AS147" s="16">
        <f t="shared" si="521"/>
        <v>-5.372257429263283E-3</v>
      </c>
    </row>
    <row r="148" spans="1:45" ht="15">
      <c r="A148" s="51">
        <v>44137</v>
      </c>
      <c r="B148" s="48">
        <v>5.8900000000000001E-2</v>
      </c>
      <c r="C148" s="16"/>
      <c r="D148" s="51">
        <v>44501</v>
      </c>
      <c r="E148" s="48">
        <v>6.3799999999999996E-2</v>
      </c>
      <c r="F148" s="16"/>
      <c r="G148" s="51">
        <v>44867</v>
      </c>
      <c r="H148" s="48">
        <v>7.4099999999999999E-2</v>
      </c>
      <c r="I148" s="16"/>
      <c r="J148" s="51">
        <v>45231</v>
      </c>
      <c r="K148" s="48">
        <v>7.3499999999999996E-2</v>
      </c>
      <c r="L148" s="16"/>
      <c r="M148" s="53">
        <v>45594</v>
      </c>
      <c r="N148" s="48">
        <v>6.8599999999999994E-2</v>
      </c>
      <c r="O148" s="16"/>
      <c r="P148" s="16"/>
      <c r="Q148" s="54">
        <v>44133</v>
      </c>
      <c r="R148" s="49">
        <v>805.45</v>
      </c>
      <c r="S148" s="50">
        <v>16544.45</v>
      </c>
      <c r="T148" s="16">
        <f t="shared" ref="T148:U148" si="522">R148/R149-1</f>
        <v>1.8657876733627621E-3</v>
      </c>
      <c r="U148" s="16">
        <f t="shared" si="522"/>
        <v>-4.7331639709248252E-3</v>
      </c>
      <c r="V148" s="16"/>
      <c r="W148" s="51">
        <v>44501</v>
      </c>
      <c r="X148" s="50">
        <v>1522.65</v>
      </c>
      <c r="Y148" s="50">
        <v>25340.83</v>
      </c>
      <c r="Z148" s="16">
        <f t="shared" ref="Z148:AA148" si="523">X148/X149-1</f>
        <v>2.9687235841082016E-2</v>
      </c>
      <c r="AA148" s="16">
        <f t="shared" si="523"/>
        <v>-1.039403694069474E-2</v>
      </c>
      <c r="AB148" s="16"/>
      <c r="AC148" s="51">
        <v>44867</v>
      </c>
      <c r="AD148" s="50">
        <v>1081.7</v>
      </c>
      <c r="AE148" s="50">
        <v>26290.01</v>
      </c>
      <c r="AF148" s="16">
        <f t="shared" ref="AF148:AG148" si="524">AD148/AD149-1</f>
        <v>9.3780618672141269E-3</v>
      </c>
      <c r="AG148" s="16">
        <f t="shared" si="524"/>
        <v>-3.4479399354915286E-3</v>
      </c>
      <c r="AH148" s="16"/>
      <c r="AI148" s="53">
        <v>45225</v>
      </c>
      <c r="AJ148" s="50">
        <v>1116</v>
      </c>
      <c r="AK148" s="50">
        <v>27886.240000000002</v>
      </c>
      <c r="AL148" s="16">
        <f t="shared" ref="AL148:AM148" si="525">AJ148/AJ149-1</f>
        <v>-2.2510291670316263E-2</v>
      </c>
      <c r="AM148" s="16">
        <f t="shared" si="525"/>
        <v>-4.6799555704034601E-3</v>
      </c>
      <c r="AN148" s="16"/>
      <c r="AO148" s="53">
        <v>45594</v>
      </c>
      <c r="AP148" s="50">
        <v>1695.8</v>
      </c>
      <c r="AQ148" s="50">
        <v>36165.43</v>
      </c>
      <c r="AR148" s="16">
        <f t="shared" ref="AR148:AS148" si="526">AP148/AP149-1</f>
        <v>-3.7013101462898268E-3</v>
      </c>
      <c r="AS148" s="16">
        <f t="shared" si="526"/>
        <v>-5.1495586426620887E-3</v>
      </c>
    </row>
    <row r="149" spans="1:45" ht="15">
      <c r="A149" s="53">
        <v>44133</v>
      </c>
      <c r="B149" s="48">
        <v>5.8900000000000001E-2</v>
      </c>
      <c r="C149" s="16"/>
      <c r="D149" s="53">
        <v>44498</v>
      </c>
      <c r="E149" s="48">
        <v>6.3600000000000004E-2</v>
      </c>
      <c r="F149" s="16"/>
      <c r="G149" s="51">
        <v>44866</v>
      </c>
      <c r="H149" s="48">
        <v>7.4099999999999999E-2</v>
      </c>
      <c r="I149" s="16"/>
      <c r="J149" s="53">
        <v>45230</v>
      </c>
      <c r="K149" s="48">
        <v>7.3499999999999996E-2</v>
      </c>
      <c r="L149" s="16"/>
      <c r="M149" s="53">
        <v>45593</v>
      </c>
      <c r="N149" s="48">
        <v>6.8599999999999994E-2</v>
      </c>
      <c r="O149" s="16"/>
      <c r="P149" s="16"/>
      <c r="Q149" s="53">
        <v>44132</v>
      </c>
      <c r="R149" s="49">
        <v>803.95</v>
      </c>
      <c r="S149" s="50">
        <v>16623.13</v>
      </c>
      <c r="T149" s="16">
        <f t="shared" ref="T149:U149" si="527">R149/R150-1</f>
        <v>-3.0041623936779893E-2</v>
      </c>
      <c r="U149" s="16">
        <f t="shared" si="527"/>
        <v>-1.3168924117362035E-2</v>
      </c>
      <c r="V149" s="16"/>
      <c r="W149" s="53">
        <v>44498</v>
      </c>
      <c r="X149" s="50">
        <v>1478.75</v>
      </c>
      <c r="Y149" s="50">
        <v>25606.99</v>
      </c>
      <c r="Z149" s="16">
        <f t="shared" ref="Z149:AA149" si="528">X149/X150-1</f>
        <v>-3.52622651356993E-2</v>
      </c>
      <c r="AA149" s="16">
        <f t="shared" si="528"/>
        <v>-1.940098691793779E-2</v>
      </c>
      <c r="AB149" s="16"/>
      <c r="AC149" s="51">
        <v>44866</v>
      </c>
      <c r="AD149" s="50">
        <v>1071.6500000000001</v>
      </c>
      <c r="AE149" s="50">
        <v>26380.97</v>
      </c>
      <c r="AF149" s="16">
        <f t="shared" ref="AF149:AG149" si="529">AD149/AD150-1</f>
        <v>7.6633756464505876E-3</v>
      </c>
      <c r="AG149" s="16">
        <f t="shared" si="529"/>
        <v>7.5856416304718177E-3</v>
      </c>
      <c r="AH149" s="16"/>
      <c r="AI149" s="53">
        <v>45224</v>
      </c>
      <c r="AJ149" s="50">
        <v>1141.7</v>
      </c>
      <c r="AK149" s="50">
        <v>28017.360000000001</v>
      </c>
      <c r="AL149" s="16">
        <f t="shared" ref="AL149:AM149" si="530">AJ149/AJ150-1</f>
        <v>-1.1643509500930627E-2</v>
      </c>
      <c r="AM149" s="16">
        <f t="shared" si="530"/>
        <v>-3.2041361320248596E-3</v>
      </c>
      <c r="AN149" s="16"/>
      <c r="AO149" s="53">
        <v>45593</v>
      </c>
      <c r="AP149" s="50">
        <v>1702.1</v>
      </c>
      <c r="AQ149" s="50">
        <v>36352.629999999997</v>
      </c>
      <c r="AR149" s="16">
        <f t="shared" ref="AR149:AS149" si="531">AP149/AP150-1</f>
        <v>-8.3313912840831117E-3</v>
      </c>
      <c r="AS149" s="16">
        <f t="shared" si="531"/>
        <v>5.9383425161803061E-3</v>
      </c>
    </row>
    <row r="150" spans="1:45" ht="15">
      <c r="A150" s="53">
        <v>44132</v>
      </c>
      <c r="B150" s="48">
        <v>5.8599999999999999E-2</v>
      </c>
      <c r="C150" s="16"/>
      <c r="D150" s="53">
        <v>44497</v>
      </c>
      <c r="E150" s="48">
        <v>6.3500000000000001E-2</v>
      </c>
      <c r="F150" s="16"/>
      <c r="G150" s="53">
        <v>44865</v>
      </c>
      <c r="H150" s="48">
        <v>7.4499999999999997E-2</v>
      </c>
      <c r="I150" s="16"/>
      <c r="J150" s="53">
        <v>45229</v>
      </c>
      <c r="K150" s="48">
        <v>7.3599999999999999E-2</v>
      </c>
      <c r="L150" s="16"/>
      <c r="M150" s="53">
        <v>45590</v>
      </c>
      <c r="N150" s="48">
        <v>6.8400000000000002E-2</v>
      </c>
      <c r="O150" s="16"/>
      <c r="P150" s="16"/>
      <c r="Q150" s="53">
        <v>44131</v>
      </c>
      <c r="R150" s="49">
        <v>828.85</v>
      </c>
      <c r="S150" s="50">
        <v>16844.96</v>
      </c>
      <c r="T150" s="16">
        <f t="shared" ref="T150:U150" si="532">R150/R151-1</f>
        <v>1.1471108670449759E-2</v>
      </c>
      <c r="U150" s="16">
        <f t="shared" si="532"/>
        <v>1.0336707727999661E-2</v>
      </c>
      <c r="V150" s="16"/>
      <c r="W150" s="53">
        <v>44497</v>
      </c>
      <c r="X150" s="50">
        <v>1532.8</v>
      </c>
      <c r="Y150" s="50">
        <v>26113.62</v>
      </c>
      <c r="Z150" s="16">
        <f t="shared" ref="Z150:AA150" si="533">X150/X151-1</f>
        <v>-2.2573651319984789E-2</v>
      </c>
      <c r="AA150" s="16">
        <f t="shared" si="533"/>
        <v>-3.1466576067765706E-3</v>
      </c>
      <c r="AB150" s="16"/>
      <c r="AC150" s="53">
        <v>44865</v>
      </c>
      <c r="AD150" s="50">
        <v>1063.5</v>
      </c>
      <c r="AE150" s="50">
        <v>26182.36</v>
      </c>
      <c r="AF150" s="16">
        <f t="shared" ref="AF150:AG150" si="534">AD150/AD151-1</f>
        <v>1.4838494202967567E-2</v>
      </c>
      <c r="AG150" s="16">
        <f t="shared" si="534"/>
        <v>1.2750689289173334E-2</v>
      </c>
      <c r="AH150" s="16"/>
      <c r="AI150" s="53">
        <v>45222</v>
      </c>
      <c r="AJ150" s="50">
        <v>1155.1500000000001</v>
      </c>
      <c r="AK150" s="50">
        <v>28107.42</v>
      </c>
      <c r="AL150" s="16">
        <f t="shared" ref="AL150:AM150" si="535">AJ150/AJ151-1</f>
        <v>-1.3156208619879428E-2</v>
      </c>
      <c r="AM150" s="16">
        <f t="shared" si="535"/>
        <v>4.9159954694186769E-3</v>
      </c>
      <c r="AN150" s="16"/>
      <c r="AO150" s="53">
        <v>45590</v>
      </c>
      <c r="AP150" s="50">
        <v>1716.4</v>
      </c>
      <c r="AQ150" s="50">
        <v>36138.03</v>
      </c>
      <c r="AR150" s="16">
        <f t="shared" ref="AR150:AS150" si="536">AP150/AP151-1</f>
        <v>-1.0492332526230719E-2</v>
      </c>
      <c r="AS150" s="16">
        <f t="shared" si="536"/>
        <v>6.5484924345986517E-3</v>
      </c>
    </row>
    <row r="151" spans="1:45" ht="15">
      <c r="A151" s="53">
        <v>44131</v>
      </c>
      <c r="B151" s="48">
        <v>5.8500000000000003E-2</v>
      </c>
      <c r="C151" s="16"/>
      <c r="D151" s="53">
        <v>44496</v>
      </c>
      <c r="E151" s="48">
        <v>6.3399999999999998E-2</v>
      </c>
      <c r="F151" s="16"/>
      <c r="G151" s="53">
        <v>44862</v>
      </c>
      <c r="H151" s="48">
        <v>7.4200000000000002E-2</v>
      </c>
      <c r="I151" s="16"/>
      <c r="J151" s="53">
        <v>45226</v>
      </c>
      <c r="K151" s="48">
        <v>7.3400000000000007E-2</v>
      </c>
      <c r="L151" s="16"/>
      <c r="M151" s="53">
        <v>45589</v>
      </c>
      <c r="N151" s="48">
        <v>6.83E-2</v>
      </c>
      <c r="O151" s="16"/>
      <c r="P151" s="16"/>
      <c r="Q151" s="53">
        <v>44130</v>
      </c>
      <c r="R151" s="49">
        <v>819.45</v>
      </c>
      <c r="S151" s="50">
        <v>16672.62</v>
      </c>
      <c r="T151" s="16">
        <f t="shared" ref="T151:U151" si="537">R151/R152-1</f>
        <v>-3.3781393703572693E-2</v>
      </c>
      <c r="U151" s="16">
        <f t="shared" si="537"/>
        <v>-1.3627199023129699E-2</v>
      </c>
      <c r="V151" s="16"/>
      <c r="W151" s="53">
        <v>44496</v>
      </c>
      <c r="X151" s="50">
        <v>1568.2</v>
      </c>
      <c r="Y151" s="50">
        <v>26196.05</v>
      </c>
      <c r="Z151" s="16">
        <f t="shared" ref="Z151:AA151" si="538">X151/X152-1</f>
        <v>3.3911318702410931E-3</v>
      </c>
      <c r="AA151" s="16">
        <f t="shared" si="538"/>
        <v>8.8192570273699644E-3</v>
      </c>
      <c r="AB151" s="16"/>
      <c r="AC151" s="53">
        <v>44862</v>
      </c>
      <c r="AD151" s="50">
        <v>1047.95</v>
      </c>
      <c r="AE151" s="50">
        <v>25852.720000000001</v>
      </c>
      <c r="AF151" s="16">
        <f t="shared" ref="AF151:AG151" si="539">AD151/AD152-1</f>
        <v>-2.5298795516904615E-2</v>
      </c>
      <c r="AG151" s="16">
        <f t="shared" si="539"/>
        <v>2.8118445801299519E-3</v>
      </c>
      <c r="AH151" s="16"/>
      <c r="AI151" s="53">
        <v>45219</v>
      </c>
      <c r="AJ151" s="50">
        <v>1170.55</v>
      </c>
      <c r="AK151" s="50">
        <v>27969.919999999998</v>
      </c>
      <c r="AL151" s="16">
        <f t="shared" ref="AL151:AM151" si="540">AJ151/AJ152-1</f>
        <v>-1.2812847014609385E-4</v>
      </c>
      <c r="AM151" s="16">
        <f t="shared" si="540"/>
        <v>1.0098485786894873E-2</v>
      </c>
      <c r="AN151" s="16"/>
      <c r="AO151" s="53">
        <v>45589</v>
      </c>
      <c r="AP151" s="50">
        <v>1734.6</v>
      </c>
      <c r="AQ151" s="50">
        <v>35902.92</v>
      </c>
      <c r="AR151" s="16">
        <f t="shared" ref="AR151:AS151" si="541">AP151/AP152-1</f>
        <v>-1.7292062943119468E-4</v>
      </c>
      <c r="AS151" s="16">
        <f t="shared" si="541"/>
        <v>-8.9600392188038391E-3</v>
      </c>
    </row>
    <row r="152" spans="1:45" ht="15">
      <c r="A152" s="53">
        <v>44130</v>
      </c>
      <c r="B152" s="48">
        <v>5.8400000000000001E-2</v>
      </c>
      <c r="C152" s="16"/>
      <c r="D152" s="53">
        <v>44495</v>
      </c>
      <c r="E152" s="48">
        <v>6.3600000000000004E-2</v>
      </c>
      <c r="F152" s="16"/>
      <c r="G152" s="53">
        <v>44861</v>
      </c>
      <c r="H152" s="48">
        <v>7.4200000000000002E-2</v>
      </c>
      <c r="I152" s="16"/>
      <c r="J152" s="53">
        <v>45225</v>
      </c>
      <c r="K152" s="48">
        <v>7.3700000000000002E-2</v>
      </c>
      <c r="L152" s="16"/>
      <c r="M152" s="53">
        <v>45588</v>
      </c>
      <c r="N152" s="48">
        <v>6.8199999999999997E-2</v>
      </c>
      <c r="O152" s="16"/>
      <c r="P152" s="16"/>
      <c r="Q152" s="53">
        <v>44127</v>
      </c>
      <c r="R152" s="49">
        <v>848.1</v>
      </c>
      <c r="S152" s="50">
        <v>16902.96</v>
      </c>
      <c r="T152" s="16">
        <f t="shared" ref="T152:U152" si="542">R152/R153-1</f>
        <v>1.1931750387781825E-2</v>
      </c>
      <c r="U152" s="16">
        <f t="shared" si="542"/>
        <v>3.7077239895204617E-3</v>
      </c>
      <c r="V152" s="16"/>
      <c r="W152" s="53">
        <v>44495</v>
      </c>
      <c r="X152" s="50">
        <v>1562.9</v>
      </c>
      <c r="Y152" s="50">
        <v>25967.040000000001</v>
      </c>
      <c r="Z152" s="16">
        <f t="shared" ref="Z152:AA152" si="543">X152/X153-1</f>
        <v>2.5255838362634453E-2</v>
      </c>
      <c r="AA152" s="16">
        <f t="shared" si="543"/>
        <v>5.7914589274599138E-4</v>
      </c>
      <c r="AB152" s="16"/>
      <c r="AC152" s="53">
        <v>44861</v>
      </c>
      <c r="AD152" s="50">
        <v>1075.1500000000001</v>
      </c>
      <c r="AE152" s="50">
        <v>25780.23</v>
      </c>
      <c r="AF152" s="16">
        <f t="shared" ref="AF152:AG152" si="544">AD152/AD153-1</f>
        <v>-6.8357119763520213E-3</v>
      </c>
      <c r="AG152" s="16">
        <f t="shared" si="544"/>
        <v>5.3382281715252944E-3</v>
      </c>
      <c r="AH152" s="16"/>
      <c r="AI152" s="53">
        <v>45218</v>
      </c>
      <c r="AJ152" s="50">
        <v>1170.7</v>
      </c>
      <c r="AK152" s="50">
        <v>27690.29</v>
      </c>
      <c r="AL152" s="16">
        <f t="shared" ref="AL152:AM152" si="545">AJ152/AJ153-1</f>
        <v>-1.2942118797689695E-2</v>
      </c>
      <c r="AM152" s="16">
        <f t="shared" si="545"/>
        <v>-1.3852573037893334E-2</v>
      </c>
      <c r="AN152" s="16"/>
      <c r="AO152" s="53">
        <v>45588</v>
      </c>
      <c r="AP152" s="50">
        <v>1734.9</v>
      </c>
      <c r="AQ152" s="50">
        <v>36227.519999999997</v>
      </c>
      <c r="AR152" s="16">
        <f t="shared" ref="AR152:AS152" si="546">AP152/AP153-1</f>
        <v>2.2815705695083066E-2</v>
      </c>
      <c r="AS152" s="16">
        <f t="shared" si="546"/>
        <v>-1.4768019712743108E-3</v>
      </c>
    </row>
    <row r="153" spans="1:45" ht="15">
      <c r="A153" s="53">
        <v>44127</v>
      </c>
      <c r="B153" s="48">
        <v>5.8500000000000003E-2</v>
      </c>
      <c r="C153" s="16"/>
      <c r="D153" s="53">
        <v>44494</v>
      </c>
      <c r="E153" s="48">
        <v>6.3399999999999998E-2</v>
      </c>
      <c r="F153" s="16"/>
      <c r="G153" s="53">
        <v>44859</v>
      </c>
      <c r="H153" s="48">
        <v>7.4399999999999994E-2</v>
      </c>
      <c r="I153" s="16"/>
      <c r="J153" s="53">
        <v>45224</v>
      </c>
      <c r="K153" s="48">
        <v>7.3499999999999996E-2</v>
      </c>
      <c r="L153" s="16"/>
      <c r="M153" s="53">
        <v>45587</v>
      </c>
      <c r="N153" s="48">
        <v>6.8400000000000002E-2</v>
      </c>
      <c r="O153" s="16"/>
      <c r="P153" s="16"/>
      <c r="Q153" s="53">
        <v>44126</v>
      </c>
      <c r="R153" s="49">
        <v>838.1</v>
      </c>
      <c r="S153" s="50">
        <v>16840.52</v>
      </c>
      <c r="T153" s="16">
        <f t="shared" ref="T153:U153" si="547">R153/R154-1</f>
        <v>-8.5176860286287903E-3</v>
      </c>
      <c r="U153" s="16">
        <f t="shared" si="547"/>
        <v>-3.3679677915516848E-3</v>
      </c>
      <c r="V153" s="16"/>
      <c r="W153" s="53">
        <v>44494</v>
      </c>
      <c r="X153" s="50">
        <v>1524.4</v>
      </c>
      <c r="Y153" s="50">
        <v>25952.01</v>
      </c>
      <c r="Z153" s="16">
        <f t="shared" ref="Z153:AA153" si="548">X153/X154-1</f>
        <v>4.2160737812912963E-3</v>
      </c>
      <c r="AA153" s="16">
        <f t="shared" si="548"/>
        <v>-3.4781486787605065E-3</v>
      </c>
      <c r="AB153" s="16"/>
      <c r="AC153" s="53">
        <v>44859</v>
      </c>
      <c r="AD153" s="50">
        <v>1082.55</v>
      </c>
      <c r="AE153" s="50">
        <v>25643.34</v>
      </c>
      <c r="AF153" s="16">
        <f t="shared" ref="AF153:AG153" si="549">AD153/AD154-1</f>
        <v>3.2918276799771107E-2</v>
      </c>
      <c r="AG153" s="16">
        <f t="shared" si="549"/>
        <v>-4.1982101978723652E-3</v>
      </c>
      <c r="AH153" s="16"/>
      <c r="AI153" s="53">
        <v>45217</v>
      </c>
      <c r="AJ153" s="50">
        <v>1186.05</v>
      </c>
      <c r="AK153" s="50">
        <v>28079.26</v>
      </c>
      <c r="AL153" s="16">
        <f t="shared" ref="AL153:AM153" si="550">AJ153/AJ154-1</f>
        <v>-9.3547713510128139E-3</v>
      </c>
      <c r="AM153" s="16">
        <f t="shared" si="550"/>
        <v>-7.5180369263918578E-3</v>
      </c>
      <c r="AN153" s="16"/>
      <c r="AO153" s="53">
        <v>45587</v>
      </c>
      <c r="AP153" s="50">
        <v>1696.2</v>
      </c>
      <c r="AQ153" s="50">
        <v>36281.1</v>
      </c>
      <c r="AR153" s="16">
        <f t="shared" ref="AR153:AS153" si="551">AP153/AP154-1</f>
        <v>-2.8804890952911499E-3</v>
      </c>
      <c r="AS153" s="16">
        <f t="shared" si="551"/>
        <v>-1.4960592214877666E-3</v>
      </c>
    </row>
    <row r="154" spans="1:45" ht="15">
      <c r="A154" s="53">
        <v>44126</v>
      </c>
      <c r="B154" s="48">
        <v>5.9200000000000003E-2</v>
      </c>
      <c r="C154" s="16"/>
      <c r="D154" s="53">
        <v>44491</v>
      </c>
      <c r="E154" s="48">
        <v>6.3700000000000007E-2</v>
      </c>
      <c r="F154" s="16"/>
      <c r="G154" s="53">
        <v>44857</v>
      </c>
      <c r="H154" s="48">
        <v>7.51E-2</v>
      </c>
      <c r="I154" s="16"/>
      <c r="J154" s="53">
        <v>45223</v>
      </c>
      <c r="K154" s="48">
        <v>7.3800000000000004E-2</v>
      </c>
      <c r="L154" s="16"/>
      <c r="M154" s="53">
        <v>45586</v>
      </c>
      <c r="N154" s="48">
        <v>6.83E-2</v>
      </c>
      <c r="O154" s="16"/>
      <c r="P154" s="16"/>
      <c r="Q154" s="53">
        <v>44125</v>
      </c>
      <c r="R154" s="49">
        <v>845.3</v>
      </c>
      <c r="S154" s="50">
        <v>16897.43</v>
      </c>
      <c r="T154" s="16">
        <f t="shared" ref="T154:U154" si="552">R154/R155-1</f>
        <v>-5.7048756101865106E-3</v>
      </c>
      <c r="U154" s="16">
        <f t="shared" si="552"/>
        <v>3.4341670823536674E-3</v>
      </c>
      <c r="V154" s="16"/>
      <c r="W154" s="53">
        <v>44491</v>
      </c>
      <c r="X154" s="50">
        <v>1518</v>
      </c>
      <c r="Y154" s="50">
        <v>26042.59</v>
      </c>
      <c r="Z154" s="16">
        <f t="shared" ref="Z154:AA154" si="553">X154/X155-1</f>
        <v>-4.0677076499147091E-3</v>
      </c>
      <c r="AA154" s="16">
        <f t="shared" si="553"/>
        <v>-4.7080576233538007E-3</v>
      </c>
      <c r="AB154" s="16"/>
      <c r="AC154" s="53">
        <v>44858</v>
      </c>
      <c r="AD154" s="50">
        <v>1048.05</v>
      </c>
      <c r="AE154" s="50">
        <v>25751.45</v>
      </c>
      <c r="AF154" s="16">
        <f t="shared" ref="AF154:AG154" si="554">AD154/AD155-1</f>
        <v>6.5306122448978154E-3</v>
      </c>
      <c r="AG154" s="16">
        <f t="shared" si="554"/>
        <v>8.7890942524198046E-3</v>
      </c>
      <c r="AH154" s="16"/>
      <c r="AI154" s="53">
        <v>45216</v>
      </c>
      <c r="AJ154" s="50">
        <v>1197.25</v>
      </c>
      <c r="AK154" s="50">
        <v>28291.96</v>
      </c>
      <c r="AL154" s="16">
        <f t="shared" ref="AL154:AM154" si="555">AJ154/AJ155-1</f>
        <v>1.1575345359300382E-2</v>
      </c>
      <c r="AM154" s="16">
        <f t="shared" si="555"/>
        <v>-1.33504075706945E-2</v>
      </c>
      <c r="AN154" s="16"/>
      <c r="AO154" s="53">
        <v>45586</v>
      </c>
      <c r="AP154" s="50">
        <v>1701.1</v>
      </c>
      <c r="AQ154" s="50">
        <v>36335.46</v>
      </c>
      <c r="AR154" s="16">
        <f t="shared" ref="AR154:AS154" si="556">AP154/AP155-1</f>
        <v>7.7606635071090224E-3</v>
      </c>
      <c r="AS154" s="16">
        <f t="shared" si="556"/>
        <v>-1.2353645492858778E-2</v>
      </c>
    </row>
    <row r="155" spans="1:45" ht="15">
      <c r="A155" s="53">
        <v>44125</v>
      </c>
      <c r="B155" s="48">
        <v>5.9200000000000003E-2</v>
      </c>
      <c r="C155" s="16"/>
      <c r="D155" s="53">
        <v>44490</v>
      </c>
      <c r="E155" s="48">
        <v>6.3600000000000004E-2</v>
      </c>
      <c r="F155" s="16"/>
      <c r="G155" s="53">
        <v>44855</v>
      </c>
      <c r="H155" s="48">
        <v>7.51E-2</v>
      </c>
      <c r="I155" s="16"/>
      <c r="J155" s="53">
        <v>45222</v>
      </c>
      <c r="K155" s="48">
        <v>7.3899999999999993E-2</v>
      </c>
      <c r="L155" s="16"/>
      <c r="M155" s="53">
        <v>45583</v>
      </c>
      <c r="N155" s="48">
        <v>6.8000000000000005E-2</v>
      </c>
      <c r="O155" s="16"/>
      <c r="P155" s="16"/>
      <c r="Q155" s="53">
        <v>44124</v>
      </c>
      <c r="R155" s="49">
        <v>850.15</v>
      </c>
      <c r="S155" s="50">
        <v>16839.599999999999</v>
      </c>
      <c r="T155" s="16">
        <f t="shared" ref="T155:U155" si="557">R155/R156-1</f>
        <v>3.0547305897327126E-2</v>
      </c>
      <c r="U155" s="16">
        <f t="shared" si="557"/>
        <v>2.0010746181267081E-3</v>
      </c>
      <c r="V155" s="16"/>
      <c r="W155" s="53">
        <v>44490</v>
      </c>
      <c r="X155" s="50">
        <v>1524.2</v>
      </c>
      <c r="Y155" s="50">
        <v>26165.78</v>
      </c>
      <c r="Z155" s="16">
        <f t="shared" ref="Z155:AA155" si="558">X155/X156-1</f>
        <v>-9.7131533638696865E-3</v>
      </c>
      <c r="AA155" s="16">
        <f t="shared" si="558"/>
        <v>-8.2600210508680938E-3</v>
      </c>
      <c r="AB155" s="16"/>
      <c r="AC155" s="53">
        <v>44855</v>
      </c>
      <c r="AD155" s="50">
        <v>1041.25</v>
      </c>
      <c r="AE155" s="50">
        <v>25527.09</v>
      </c>
      <c r="AF155" s="16">
        <f t="shared" ref="AF155:AG155" si="559">AD155/AD156-1</f>
        <v>2.4015369836694056E-4</v>
      </c>
      <c r="AG155" s="16">
        <f t="shared" si="559"/>
        <v>7.0366935145593779E-4</v>
      </c>
      <c r="AH155" s="16"/>
      <c r="AI155" s="53">
        <v>45215</v>
      </c>
      <c r="AJ155" s="50">
        <v>1183.55</v>
      </c>
      <c r="AK155" s="50">
        <v>28674.78</v>
      </c>
      <c r="AL155" s="16">
        <f t="shared" ref="AL155:AM155" si="560">AJ155/AJ156-1</f>
        <v>-8.8766067914417546E-3</v>
      </c>
      <c r="AM155" s="16">
        <f t="shared" si="560"/>
        <v>-4.0325269668729513E-3</v>
      </c>
      <c r="AN155" s="16"/>
      <c r="AO155" s="53">
        <v>45583</v>
      </c>
      <c r="AP155" s="50">
        <v>1688</v>
      </c>
      <c r="AQ155" s="50">
        <v>36789.949999999997</v>
      </c>
      <c r="AR155" s="16">
        <f t="shared" ref="AR155:AS155" si="561">AP155/AP156-1</f>
        <v>-6.7959165661498622E-3</v>
      </c>
      <c r="AS155" s="16">
        <f t="shared" si="561"/>
        <v>-2.9350985480341985E-3</v>
      </c>
    </row>
    <row r="156" spans="1:45" ht="15">
      <c r="A156" s="53">
        <v>44124</v>
      </c>
      <c r="B156" s="48">
        <v>5.9299999999999999E-2</v>
      </c>
      <c r="C156" s="16"/>
      <c r="D156" s="53">
        <v>44489</v>
      </c>
      <c r="E156" s="48">
        <v>6.3799999999999996E-2</v>
      </c>
      <c r="F156" s="16"/>
      <c r="G156" s="53">
        <v>44854</v>
      </c>
      <c r="H156" s="48">
        <v>7.4800000000000005E-2</v>
      </c>
      <c r="I156" s="16"/>
      <c r="J156" s="53">
        <v>45219</v>
      </c>
      <c r="K156" s="48">
        <v>7.3599999999999999E-2</v>
      </c>
      <c r="L156" s="16"/>
      <c r="M156" s="53">
        <v>45582</v>
      </c>
      <c r="N156" s="48">
        <v>6.7799999999999999E-2</v>
      </c>
      <c r="O156" s="16"/>
      <c r="P156" s="16"/>
      <c r="Q156" s="53">
        <v>44123</v>
      </c>
      <c r="R156" s="49">
        <v>824.95</v>
      </c>
      <c r="S156" s="50">
        <v>16805.97</v>
      </c>
      <c r="T156" s="16">
        <f t="shared" ref="T156:U156" si="562">R156/R157-1</f>
        <v>2.6130286825474247E-3</v>
      </c>
      <c r="U156" s="16">
        <f t="shared" si="562"/>
        <v>9.4003048747528517E-3</v>
      </c>
      <c r="V156" s="16"/>
      <c r="W156" s="53">
        <v>44489</v>
      </c>
      <c r="X156" s="50">
        <v>1539.15</v>
      </c>
      <c r="Y156" s="50">
        <v>26383.71</v>
      </c>
      <c r="Z156" s="16">
        <f t="shared" ref="Z156:AA156" si="563">X156/X157-1</f>
        <v>-6.4966704563906852E-5</v>
      </c>
      <c r="AA156" s="16">
        <f t="shared" si="563"/>
        <v>-3.1548470730387024E-3</v>
      </c>
      <c r="AB156" s="16"/>
      <c r="AC156" s="53">
        <v>44854</v>
      </c>
      <c r="AD156" s="50">
        <v>1041</v>
      </c>
      <c r="AE156" s="50">
        <v>25509.14</v>
      </c>
      <c r="AF156" s="16">
        <f t="shared" ref="AF156:AG156" si="564">AD156/AD157-1</f>
        <v>2.138932496075352E-2</v>
      </c>
      <c r="AG156" s="16">
        <f t="shared" si="564"/>
        <v>2.95036977915486E-3</v>
      </c>
      <c r="AH156" s="16"/>
      <c r="AI156" s="53">
        <v>45212</v>
      </c>
      <c r="AJ156" s="50">
        <v>1194.1500000000001</v>
      </c>
      <c r="AK156" s="50">
        <v>28790.880000000001</v>
      </c>
      <c r="AL156" s="16">
        <f t="shared" ref="AL156:AM156" si="565">AJ156/AJ157-1</f>
        <v>-2.964014360858247E-3</v>
      </c>
      <c r="AM156" s="16">
        <f t="shared" si="565"/>
        <v>-2.2522280561978469E-3</v>
      </c>
      <c r="AN156" s="16"/>
      <c r="AO156" s="53">
        <v>45582</v>
      </c>
      <c r="AP156" s="50">
        <v>1699.55</v>
      </c>
      <c r="AQ156" s="50">
        <v>36898.25</v>
      </c>
      <c r="AR156" s="16">
        <f t="shared" ref="AR156:AS156" si="566">AP156/AP157-1</f>
        <v>2.3856140245188007E-2</v>
      </c>
      <c r="AS156" s="16">
        <f t="shared" si="566"/>
        <v>4.2990939105014281E-3</v>
      </c>
    </row>
    <row r="157" spans="1:45" ht="15">
      <c r="A157" s="53">
        <v>44123</v>
      </c>
      <c r="B157" s="48">
        <v>5.9400000000000001E-2</v>
      </c>
      <c r="C157" s="16"/>
      <c r="D157" s="53">
        <v>44487</v>
      </c>
      <c r="E157" s="48">
        <v>6.3500000000000001E-2</v>
      </c>
      <c r="F157" s="16"/>
      <c r="G157" s="53">
        <v>44853</v>
      </c>
      <c r="H157" s="48">
        <v>7.4499999999999997E-2</v>
      </c>
      <c r="I157" s="16"/>
      <c r="J157" s="53">
        <v>45218</v>
      </c>
      <c r="K157" s="48">
        <v>7.3700000000000002E-2</v>
      </c>
      <c r="L157" s="16"/>
      <c r="M157" s="53">
        <v>45581</v>
      </c>
      <c r="N157" s="48">
        <v>6.7699999999999996E-2</v>
      </c>
      <c r="O157" s="16"/>
      <c r="P157" s="16"/>
      <c r="Q157" s="53">
        <v>44120</v>
      </c>
      <c r="R157" s="49">
        <v>822.8</v>
      </c>
      <c r="S157" s="50">
        <v>16649.46</v>
      </c>
      <c r="T157" s="16">
        <f t="shared" ref="T157:U157" si="567">R157/R158-1</f>
        <v>1.305097266683064E-2</v>
      </c>
      <c r="U157" s="16">
        <f t="shared" si="567"/>
        <v>7.029475166391963E-3</v>
      </c>
      <c r="V157" s="16"/>
      <c r="W157" s="53">
        <v>44488</v>
      </c>
      <c r="X157" s="50">
        <v>1539.25</v>
      </c>
      <c r="Y157" s="50">
        <v>26467.21</v>
      </c>
      <c r="Z157" s="16">
        <f t="shared" ref="Z157:AA157" si="568">X157/X158-1</f>
        <v>4.1229790976121228E-2</v>
      </c>
      <c r="AA157" s="16">
        <f t="shared" si="568"/>
        <v>7.5519160921897477E-3</v>
      </c>
      <c r="AB157" s="16"/>
      <c r="AC157" s="53">
        <v>44853</v>
      </c>
      <c r="AD157" s="50">
        <v>1019.2</v>
      </c>
      <c r="AE157" s="50">
        <v>25434.1</v>
      </c>
      <c r="AF157" s="16">
        <f t="shared" ref="AF157:AG157" si="569">AD157/AD158-1</f>
        <v>-3.923107100823886E-4</v>
      </c>
      <c r="AG157" s="16">
        <f t="shared" si="569"/>
        <v>1.5834517673345427E-3</v>
      </c>
      <c r="AH157" s="16"/>
      <c r="AI157" s="55">
        <v>45211</v>
      </c>
      <c r="AJ157" s="50">
        <v>1197.7</v>
      </c>
      <c r="AK157" s="50">
        <v>28855.87</v>
      </c>
      <c r="AL157" s="16">
        <f t="shared" ref="AL157:AM157" si="570">AJ157/AJ158-1</f>
        <v>-2.7248730964467005E-2</v>
      </c>
      <c r="AM157" s="16">
        <f t="shared" si="570"/>
        <v>-7.0859341128216569E-3</v>
      </c>
      <c r="AN157" s="16"/>
      <c r="AO157" s="53">
        <v>45581</v>
      </c>
      <c r="AP157" s="50">
        <v>1659.95</v>
      </c>
      <c r="AQ157" s="50">
        <v>36740.300000000003</v>
      </c>
      <c r="AR157" s="16">
        <f t="shared" ref="AR157:AS157" si="571">AP157/AP158-1</f>
        <v>-9.4877226482082966E-3</v>
      </c>
      <c r="AS157" s="16">
        <f t="shared" si="571"/>
        <v>-8.8669801901803957E-3</v>
      </c>
    </row>
    <row r="158" spans="1:45" ht="15">
      <c r="A158" s="53">
        <v>44120</v>
      </c>
      <c r="B158" s="48">
        <v>5.9299999999999999E-2</v>
      </c>
      <c r="C158" s="16"/>
      <c r="D158" s="53">
        <v>44483</v>
      </c>
      <c r="E158" s="48">
        <v>6.3100000000000003E-2</v>
      </c>
      <c r="F158" s="16"/>
      <c r="G158" s="53">
        <v>44852</v>
      </c>
      <c r="H158" s="48">
        <v>7.4300000000000005E-2</v>
      </c>
      <c r="I158" s="16"/>
      <c r="J158" s="53">
        <v>45217</v>
      </c>
      <c r="K158" s="48">
        <v>7.3499999999999996E-2</v>
      </c>
      <c r="L158" s="16"/>
      <c r="M158" s="53">
        <v>45580</v>
      </c>
      <c r="N158" s="48">
        <v>6.7799999999999999E-2</v>
      </c>
      <c r="O158" s="16"/>
      <c r="P158" s="16"/>
      <c r="Q158" s="53">
        <v>44119</v>
      </c>
      <c r="R158" s="49">
        <v>812.2</v>
      </c>
      <c r="S158" s="50">
        <v>16533.240000000002</v>
      </c>
      <c r="T158" s="16">
        <f t="shared" ref="T158:U158" si="572">R158/R159-1</f>
        <v>-4.3232418423842511E-2</v>
      </c>
      <c r="U158" s="16">
        <f t="shared" si="572"/>
        <v>-2.4284246488436079E-2</v>
      </c>
      <c r="V158" s="16"/>
      <c r="W158" s="53">
        <v>44487</v>
      </c>
      <c r="X158" s="50">
        <v>1478.3</v>
      </c>
      <c r="Y158" s="50">
        <v>26268.83</v>
      </c>
      <c r="Z158" s="16">
        <f t="shared" ref="Z158:AA158" si="573">X158/X159-1</f>
        <v>3.3595525257821945E-2</v>
      </c>
      <c r="AA158" s="16">
        <f t="shared" si="573"/>
        <v>9.8273222161526785E-3</v>
      </c>
      <c r="AB158" s="16"/>
      <c r="AC158" s="53">
        <v>44852</v>
      </c>
      <c r="AD158" s="50">
        <v>1019.6</v>
      </c>
      <c r="AE158" s="50">
        <v>25393.89</v>
      </c>
      <c r="AF158" s="16">
        <f t="shared" ref="AF158:AG158" si="574">AD158/AD159-1</f>
        <v>-3.2748423676621785E-3</v>
      </c>
      <c r="AG158" s="16">
        <f t="shared" si="574"/>
        <v>1.0117126201542925E-2</v>
      </c>
      <c r="AH158" s="16"/>
      <c r="AI158" s="55">
        <v>45210</v>
      </c>
      <c r="AJ158" s="50">
        <v>1231.25</v>
      </c>
      <c r="AK158" s="50">
        <v>29061.8</v>
      </c>
      <c r="AL158" s="16">
        <f t="shared" ref="AL158:AM158" si="575">AJ158/AJ159-1</f>
        <v>2.2792950466035133E-3</v>
      </c>
      <c r="AM158" s="16">
        <f t="shared" si="575"/>
        <v>4.039748667034937E-3</v>
      </c>
      <c r="AN158" s="16"/>
      <c r="AO158" s="53">
        <v>45580</v>
      </c>
      <c r="AP158" s="50">
        <v>1675.85</v>
      </c>
      <c r="AQ158" s="50">
        <v>37068.99</v>
      </c>
      <c r="AR158" s="16">
        <f t="shared" ref="AR158:AS158" si="576">AP158/AP159-1</f>
        <v>-9.9837542460493589E-3</v>
      </c>
      <c r="AS158" s="16">
        <f t="shared" si="576"/>
        <v>-3.4331011710989623E-3</v>
      </c>
    </row>
    <row r="159" spans="1:45" ht="15">
      <c r="A159" s="53">
        <v>44119</v>
      </c>
      <c r="B159" s="48">
        <v>5.8999999999999997E-2</v>
      </c>
      <c r="C159" s="16"/>
      <c r="D159" s="53">
        <v>44482</v>
      </c>
      <c r="E159" s="48">
        <v>6.3399999999999998E-2</v>
      </c>
      <c r="F159" s="16"/>
      <c r="G159" s="53">
        <v>44851</v>
      </c>
      <c r="H159" s="48">
        <v>7.4099999999999999E-2</v>
      </c>
      <c r="I159" s="16"/>
      <c r="J159" s="53">
        <v>45216</v>
      </c>
      <c r="K159" s="48">
        <v>7.3099999999999998E-2</v>
      </c>
      <c r="L159" s="16"/>
      <c r="M159" s="53">
        <v>45579</v>
      </c>
      <c r="N159" s="48">
        <v>6.7699999999999996E-2</v>
      </c>
      <c r="O159" s="16"/>
      <c r="P159" s="16"/>
      <c r="Q159" s="53">
        <v>44118</v>
      </c>
      <c r="R159" s="49">
        <v>848.9</v>
      </c>
      <c r="S159" s="50">
        <v>16944.73</v>
      </c>
      <c r="T159" s="16">
        <f t="shared" ref="T159:U159" si="577">R159/R160-1</f>
        <v>-2.1328106986396089E-2</v>
      </c>
      <c r="U159" s="16">
        <f t="shared" si="577"/>
        <v>3.3075036991818685E-3</v>
      </c>
      <c r="V159" s="16"/>
      <c r="W159" s="53">
        <v>44483</v>
      </c>
      <c r="X159" s="50">
        <v>1430.25</v>
      </c>
      <c r="Y159" s="50">
        <v>26013.19</v>
      </c>
      <c r="Z159" s="16">
        <f t="shared" ref="Z159:AA159" si="578">X159/X160-1</f>
        <v>1.9313687061254914E-2</v>
      </c>
      <c r="AA159" s="16">
        <f t="shared" si="578"/>
        <v>9.436550470876881E-3</v>
      </c>
      <c r="AB159" s="16"/>
      <c r="AC159" s="53">
        <v>44851</v>
      </c>
      <c r="AD159" s="50">
        <v>1022.95</v>
      </c>
      <c r="AE159" s="50">
        <v>25139.55</v>
      </c>
      <c r="AF159" s="16">
        <f t="shared" ref="AF159:AG159" si="579">AD159/AD160-1</f>
        <v>3.2856021969400739E-3</v>
      </c>
      <c r="AG159" s="16">
        <f t="shared" si="579"/>
        <v>7.4457746831637639E-3</v>
      </c>
      <c r="AH159" s="16"/>
      <c r="AI159" s="55">
        <v>45209</v>
      </c>
      <c r="AJ159" s="50">
        <v>1228.45</v>
      </c>
      <c r="AK159" s="50">
        <v>28944.87</v>
      </c>
      <c r="AL159" s="16">
        <f t="shared" ref="AL159:AM159" si="580">AJ159/AJ160-1</f>
        <v>1.39072301089469E-2</v>
      </c>
      <c r="AM159" s="16">
        <f t="shared" si="580"/>
        <v>-9.7573131528028156E-4</v>
      </c>
      <c r="AN159" s="16"/>
      <c r="AO159" s="53">
        <v>45579</v>
      </c>
      <c r="AP159" s="50">
        <v>1692.75</v>
      </c>
      <c r="AQ159" s="50">
        <v>37196.69</v>
      </c>
      <c r="AR159" s="16">
        <f t="shared" ref="AR159:AS159" si="581">AP159/AP160-1</f>
        <v>2.8558408020659343E-2</v>
      </c>
      <c r="AS159" s="16">
        <f t="shared" si="581"/>
        <v>-2.8098065761429369E-3</v>
      </c>
    </row>
    <row r="160" spans="1:45" ht="15">
      <c r="A160" s="53">
        <v>44118</v>
      </c>
      <c r="B160" s="48">
        <v>5.8999999999999997E-2</v>
      </c>
      <c r="C160" s="16"/>
      <c r="D160" s="55">
        <v>44481</v>
      </c>
      <c r="E160" s="48">
        <v>6.3200000000000006E-2</v>
      </c>
      <c r="F160" s="16"/>
      <c r="G160" s="53">
        <v>44848</v>
      </c>
      <c r="H160" s="48">
        <v>7.4700000000000003E-2</v>
      </c>
      <c r="I160" s="16"/>
      <c r="J160" s="53">
        <v>45215</v>
      </c>
      <c r="K160" s="48">
        <v>7.3800000000000004E-2</v>
      </c>
      <c r="L160" s="16"/>
      <c r="M160" s="55">
        <v>45576</v>
      </c>
      <c r="N160" s="48">
        <v>6.7900000000000002E-2</v>
      </c>
      <c r="O160" s="16"/>
      <c r="P160" s="16"/>
      <c r="Q160" s="53">
        <v>44117</v>
      </c>
      <c r="R160" s="49">
        <v>867.4</v>
      </c>
      <c r="S160" s="50">
        <v>16888.87</v>
      </c>
      <c r="T160" s="16">
        <f t="shared" ref="T160:U160" si="582">R160/R161-1</f>
        <v>1.2194410409008594E-2</v>
      </c>
      <c r="U160" s="16">
        <f t="shared" si="582"/>
        <v>2.9791800917311484E-4</v>
      </c>
      <c r="V160" s="16"/>
      <c r="W160" s="53">
        <v>44482</v>
      </c>
      <c r="X160" s="50">
        <v>1403.15</v>
      </c>
      <c r="Y160" s="50">
        <v>25770.01</v>
      </c>
      <c r="Z160" s="16">
        <f t="shared" ref="Z160:AA160" si="583">X160/X161-1</f>
        <v>2.0881079704609062E-2</v>
      </c>
      <c r="AA160" s="16">
        <f t="shared" si="583"/>
        <v>2.5641823677935438E-3</v>
      </c>
      <c r="AB160" s="16"/>
      <c r="AC160" s="53">
        <v>44848</v>
      </c>
      <c r="AD160" s="50">
        <v>1019.6</v>
      </c>
      <c r="AE160" s="50">
        <v>24953.75</v>
      </c>
      <c r="AF160" s="16">
        <f t="shared" ref="AF160:AG160" si="584">AD160/AD161-1</f>
        <v>6.7140600315955812E-3</v>
      </c>
      <c r="AG160" s="16">
        <f t="shared" si="584"/>
        <v>1.0070856245408377E-2</v>
      </c>
      <c r="AH160" s="16"/>
      <c r="AI160" s="51">
        <v>45208</v>
      </c>
      <c r="AJ160" s="50">
        <v>1211.5999999999999</v>
      </c>
      <c r="AK160" s="50">
        <v>28973.14</v>
      </c>
      <c r="AL160" s="16">
        <f t="shared" ref="AL160:AM160" si="585">AJ160/AJ161-1</f>
        <v>-3.7822726525243988E-3</v>
      </c>
      <c r="AM160" s="16">
        <f t="shared" si="585"/>
        <v>-2.1707408380650106E-3</v>
      </c>
      <c r="AN160" s="16"/>
      <c r="AO160" s="55">
        <v>45576</v>
      </c>
      <c r="AP160" s="50">
        <v>1645.75</v>
      </c>
      <c r="AQ160" s="50">
        <v>37301.5</v>
      </c>
      <c r="AR160" s="16">
        <f t="shared" ref="AR160:AS160" si="586">AP160/AP161-1</f>
        <v>1.5706967845460662E-2</v>
      </c>
      <c r="AS160" s="16">
        <f t="shared" si="586"/>
        <v>6.5574717156582363E-3</v>
      </c>
    </row>
    <row r="161" spans="1:45" ht="15">
      <c r="A161" s="53">
        <v>44117</v>
      </c>
      <c r="B161" s="48">
        <v>5.8999999999999997E-2</v>
      </c>
      <c r="C161" s="16"/>
      <c r="D161" s="55">
        <v>44480</v>
      </c>
      <c r="E161" s="48">
        <v>6.3200000000000006E-2</v>
      </c>
      <c r="F161" s="16"/>
      <c r="G161" s="53">
        <v>44847</v>
      </c>
      <c r="H161" s="48">
        <v>7.4200000000000002E-2</v>
      </c>
      <c r="I161" s="16"/>
      <c r="J161" s="53">
        <v>45212</v>
      </c>
      <c r="K161" s="48">
        <v>7.3599999999999999E-2</v>
      </c>
      <c r="L161" s="16"/>
      <c r="M161" s="55">
        <v>45575</v>
      </c>
      <c r="N161" s="48">
        <v>6.7699999999999996E-2</v>
      </c>
      <c r="O161" s="16"/>
      <c r="P161" s="16"/>
      <c r="Q161" s="55">
        <v>44116</v>
      </c>
      <c r="R161" s="49">
        <v>856.95</v>
      </c>
      <c r="S161" s="50">
        <v>16883.84</v>
      </c>
      <c r="T161" s="16">
        <f t="shared" ref="T161:U161" si="587">R161/R162-1</f>
        <v>2.7498244792885096E-3</v>
      </c>
      <c r="U161" s="16">
        <f t="shared" si="587"/>
        <v>1.4074641268650989E-3</v>
      </c>
      <c r="V161" s="16"/>
      <c r="W161" s="55">
        <v>44481</v>
      </c>
      <c r="X161" s="50">
        <v>1374.45</v>
      </c>
      <c r="Y161" s="50">
        <v>25704.1</v>
      </c>
      <c r="Z161" s="16">
        <f t="shared" ref="Z161:AA161" si="588">X161/X162-1</f>
        <v>-1.8425281199785704E-2</v>
      </c>
      <c r="AA161" s="16">
        <f t="shared" si="588"/>
        <v>2.8371472780630569E-3</v>
      </c>
      <c r="AB161" s="16"/>
      <c r="AC161" s="53">
        <v>44847</v>
      </c>
      <c r="AD161" s="50">
        <v>1012.8</v>
      </c>
      <c r="AE161" s="50">
        <v>24704.95</v>
      </c>
      <c r="AF161" s="16">
        <f t="shared" ref="AF161:AG161" si="589">AD161/AD162-1</f>
        <v>-3.198661483194698E-3</v>
      </c>
      <c r="AG161" s="16">
        <f t="shared" si="589"/>
        <v>-6.3800144629213573E-3</v>
      </c>
      <c r="AH161" s="16"/>
      <c r="AI161" s="51">
        <v>45205</v>
      </c>
      <c r="AJ161" s="50">
        <v>1216.2</v>
      </c>
      <c r="AK161" s="50">
        <v>29036.17</v>
      </c>
      <c r="AL161" s="16">
        <f t="shared" ref="AL161:AM161" si="590">AJ161/AJ162-1</f>
        <v>8.6249792668768865E-3</v>
      </c>
      <c r="AM161" s="16">
        <f t="shared" si="590"/>
        <v>-8.7538164609612945E-4</v>
      </c>
      <c r="AN161" s="16"/>
      <c r="AO161" s="55">
        <v>45575</v>
      </c>
      <c r="AP161" s="50">
        <v>1620.3</v>
      </c>
      <c r="AQ161" s="50">
        <v>37058.49</v>
      </c>
      <c r="AR161" s="16">
        <f t="shared" ref="AR161:AS161" si="591">AP161/AP162-1</f>
        <v>-2.3150660155543568E-2</v>
      </c>
      <c r="AS161" s="16">
        <f t="shared" si="591"/>
        <v>-1.3681221344754579E-3</v>
      </c>
    </row>
    <row r="162" spans="1:45" ht="15">
      <c r="A162" s="55">
        <v>44116</v>
      </c>
      <c r="B162" s="48">
        <v>5.8999999999999997E-2</v>
      </c>
      <c r="C162" s="16"/>
      <c r="D162" s="51">
        <v>44477</v>
      </c>
      <c r="E162" s="48">
        <v>6.2899999999999998E-2</v>
      </c>
      <c r="F162" s="16"/>
      <c r="G162" s="55">
        <v>44846</v>
      </c>
      <c r="H162" s="48">
        <v>7.4399999999999994E-2</v>
      </c>
      <c r="I162" s="16"/>
      <c r="J162" s="55">
        <v>45211</v>
      </c>
      <c r="K162" s="48">
        <v>7.3599999999999999E-2</v>
      </c>
      <c r="L162" s="16"/>
      <c r="M162" s="51">
        <v>45574</v>
      </c>
      <c r="N162" s="48">
        <v>6.7699999999999996E-2</v>
      </c>
      <c r="O162" s="16"/>
      <c r="P162" s="16"/>
      <c r="Q162" s="55">
        <v>44113</v>
      </c>
      <c r="R162" s="49">
        <v>854.6</v>
      </c>
      <c r="S162" s="50">
        <v>16860.11</v>
      </c>
      <c r="T162" s="16">
        <f t="shared" ref="T162:U162" si="592">R162/R163-1</f>
        <v>-6.6833265531469621E-3</v>
      </c>
      <c r="U162" s="16">
        <f t="shared" si="592"/>
        <v>6.7251908943912753E-3</v>
      </c>
      <c r="V162" s="16"/>
      <c r="W162" s="55">
        <v>44480</v>
      </c>
      <c r="X162" s="50">
        <v>1400.25</v>
      </c>
      <c r="Y162" s="50">
        <v>25631.38</v>
      </c>
      <c r="Z162" s="16">
        <f t="shared" ref="Z162:AA162" si="593">X162/X163-1</f>
        <v>-2.7604166666666652E-2</v>
      </c>
      <c r="AA162" s="16">
        <f t="shared" si="593"/>
        <v>5.8913884164284447E-3</v>
      </c>
      <c r="AB162" s="16"/>
      <c r="AC162" s="55">
        <v>44846</v>
      </c>
      <c r="AD162" s="50">
        <v>1016.05</v>
      </c>
      <c r="AE162" s="50">
        <v>24863.58</v>
      </c>
      <c r="AF162" s="16">
        <f t="shared" ref="AF162:AG162" si="594">AD162/AD163-1</f>
        <v>1.0944729117954299E-2</v>
      </c>
      <c r="AG162" s="16">
        <f t="shared" si="594"/>
        <v>8.2472972644180853E-3</v>
      </c>
      <c r="AH162" s="16"/>
      <c r="AI162" s="51">
        <v>45204</v>
      </c>
      <c r="AJ162" s="50">
        <v>1205.8</v>
      </c>
      <c r="AK162" s="50">
        <v>29061.61</v>
      </c>
      <c r="AL162" s="16">
        <f t="shared" ref="AL162:AM162" si="595">AJ162/AJ163-1</f>
        <v>8.7155011413142525E-4</v>
      </c>
      <c r="AM162" s="16">
        <f t="shared" si="595"/>
        <v>6.1717217705010707E-3</v>
      </c>
      <c r="AN162" s="16"/>
      <c r="AO162" s="51">
        <v>45574</v>
      </c>
      <c r="AP162" s="50">
        <v>1658.7</v>
      </c>
      <c r="AQ162" s="50">
        <v>37109.26</v>
      </c>
      <c r="AR162" s="16">
        <f t="shared" ref="AR162:AS162" si="596">AP162/AP163-1</f>
        <v>1.8575946452147774E-2</v>
      </c>
      <c r="AS162" s="16">
        <f t="shared" si="596"/>
        <v>6.6091857165018197E-4</v>
      </c>
    </row>
    <row r="163" spans="1:45" ht="15">
      <c r="A163" s="51">
        <v>44113</v>
      </c>
      <c r="B163" s="48">
        <v>5.9400000000000001E-2</v>
      </c>
      <c r="C163" s="16"/>
      <c r="D163" s="51">
        <v>44476</v>
      </c>
      <c r="E163" s="48">
        <v>6.2600000000000003E-2</v>
      </c>
      <c r="F163" s="16"/>
      <c r="G163" s="55">
        <v>44845</v>
      </c>
      <c r="H163" s="48">
        <v>7.4300000000000005E-2</v>
      </c>
      <c r="I163" s="16"/>
      <c r="J163" s="55">
        <v>45210</v>
      </c>
      <c r="K163" s="48">
        <v>7.3599999999999999E-2</v>
      </c>
      <c r="L163" s="16"/>
      <c r="M163" s="51">
        <v>45573</v>
      </c>
      <c r="N163" s="48">
        <v>6.83E-2</v>
      </c>
      <c r="O163" s="16"/>
      <c r="P163" s="16"/>
      <c r="Q163" s="51">
        <v>44112</v>
      </c>
      <c r="R163" s="49">
        <v>860.35</v>
      </c>
      <c r="S163" s="50">
        <v>16747.48</v>
      </c>
      <c r="T163" s="16">
        <f t="shared" ref="T163:U163" si="597">R163/R164-1</f>
        <v>1.624143633356967E-2</v>
      </c>
      <c r="U163" s="16">
        <f t="shared" si="597"/>
        <v>8.1579777461540104E-3</v>
      </c>
      <c r="V163" s="16"/>
      <c r="W163" s="51">
        <v>44477</v>
      </c>
      <c r="X163" s="50">
        <v>1440</v>
      </c>
      <c r="Y163" s="50">
        <v>25481.26</v>
      </c>
      <c r="Z163" s="16">
        <f t="shared" ref="Z163:AA163" si="598">X163/X164-1</f>
        <v>1.6052213794319981E-2</v>
      </c>
      <c r="AA163" s="16">
        <f t="shared" si="598"/>
        <v>8.1813750470829394E-3</v>
      </c>
      <c r="AB163" s="16"/>
      <c r="AC163" s="55">
        <v>44845</v>
      </c>
      <c r="AD163" s="50">
        <v>1005.05</v>
      </c>
      <c r="AE163" s="50">
        <v>24660.2</v>
      </c>
      <c r="AF163" s="16">
        <f t="shared" ref="AF163:AG163" si="599">AD163/AD164-1</f>
        <v>-2.4175930870430684E-2</v>
      </c>
      <c r="AG163" s="16">
        <f t="shared" si="599"/>
        <v>-1.4932479881377358E-2</v>
      </c>
      <c r="AH163" s="16"/>
      <c r="AI163" s="51">
        <v>45203</v>
      </c>
      <c r="AJ163" s="50">
        <v>1204.75</v>
      </c>
      <c r="AK163" s="50">
        <v>28883.35</v>
      </c>
      <c r="AL163" s="16">
        <f t="shared" ref="AL163:AM163" si="600">AJ163/AJ164-1</f>
        <v>-8.8848669326642149E-3</v>
      </c>
      <c r="AM163" s="16">
        <f t="shared" si="600"/>
        <v>9.0965371180777854E-3</v>
      </c>
      <c r="AN163" s="16"/>
      <c r="AO163" s="51">
        <v>45573</v>
      </c>
      <c r="AP163" s="50">
        <v>1628.45</v>
      </c>
      <c r="AQ163" s="50">
        <v>37084.75</v>
      </c>
      <c r="AR163" s="16">
        <f t="shared" ref="AR163:AS163" si="601">AP163/AP164-1</f>
        <v>6.240924398307035E-3</v>
      </c>
      <c r="AS163" s="16">
        <f t="shared" si="601"/>
        <v>-1.2474728037732419E-3</v>
      </c>
    </row>
    <row r="164" spans="1:45" ht="15">
      <c r="A164" s="51">
        <v>44112</v>
      </c>
      <c r="B164" s="48">
        <v>6.0199999999999997E-2</v>
      </c>
      <c r="C164" s="16"/>
      <c r="D164" s="51">
        <v>44475</v>
      </c>
      <c r="E164" s="48">
        <v>6.25E-2</v>
      </c>
      <c r="F164" s="16"/>
      <c r="G164" s="55">
        <v>44844</v>
      </c>
      <c r="H164" s="48">
        <v>7.4700000000000003E-2</v>
      </c>
      <c r="I164" s="16"/>
      <c r="J164" s="55">
        <v>45209</v>
      </c>
      <c r="K164" s="48">
        <v>7.3999999999999996E-2</v>
      </c>
      <c r="L164" s="16"/>
      <c r="M164" s="51">
        <v>45572</v>
      </c>
      <c r="N164" s="48">
        <v>6.83E-2</v>
      </c>
      <c r="O164" s="16"/>
      <c r="P164" s="16"/>
      <c r="Q164" s="51">
        <v>44111</v>
      </c>
      <c r="R164" s="49">
        <v>846.6</v>
      </c>
      <c r="S164" s="50">
        <v>16611.96</v>
      </c>
      <c r="T164" s="16">
        <f t="shared" ref="T164:U164" si="602">R164/R165-1</f>
        <v>-4.7225501770953304E-4</v>
      </c>
      <c r="U164" s="16">
        <f t="shared" si="602"/>
        <v>6.5554718709723847E-3</v>
      </c>
      <c r="V164" s="16"/>
      <c r="W164" s="51">
        <v>44476</v>
      </c>
      <c r="X164" s="50">
        <v>1417.25</v>
      </c>
      <c r="Y164" s="50">
        <v>25274.48</v>
      </c>
      <c r="Z164" s="16">
        <f t="shared" ref="Z164:AA164" si="603">X164/X165-1</f>
        <v>2.1551879482466729E-2</v>
      </c>
      <c r="AA164" s="16">
        <f t="shared" si="603"/>
        <v>-9.8914951944961693E-3</v>
      </c>
      <c r="AB164" s="16"/>
      <c r="AC164" s="55">
        <v>44844</v>
      </c>
      <c r="AD164" s="50">
        <v>1029.95</v>
      </c>
      <c r="AE164" s="50">
        <v>25034.02</v>
      </c>
      <c r="AF164" s="16">
        <f t="shared" ref="AF164:AG164" si="604">AD164/AD165-1</f>
        <v>5.9579039898423058E-3</v>
      </c>
      <c r="AG164" s="16">
        <f t="shared" si="604"/>
        <v>-4.2548046039555532E-3</v>
      </c>
      <c r="AH164" s="16"/>
      <c r="AI164" s="51">
        <v>45202</v>
      </c>
      <c r="AJ164" s="50">
        <v>1215.55</v>
      </c>
      <c r="AK164" s="50">
        <v>28622.98</v>
      </c>
      <c r="AL164" s="16">
        <f t="shared" ref="AL164:AM164" si="605">AJ164/AJ165-1</f>
        <v>-6.1728395061727559E-3</v>
      </c>
      <c r="AM164" s="16">
        <f t="shared" si="605"/>
        <v>-7.183469487424321E-3</v>
      </c>
      <c r="AN164" s="16"/>
      <c r="AO164" s="51">
        <v>45572</v>
      </c>
      <c r="AP164" s="50">
        <v>1618.35</v>
      </c>
      <c r="AQ164" s="50">
        <v>37131.07</v>
      </c>
      <c r="AR164" s="16">
        <f t="shared" ref="AR164:AS164" si="606">AP164/AP165-1</f>
        <v>1.1444478812248082E-3</v>
      </c>
      <c r="AS164" s="16">
        <f t="shared" si="606"/>
        <v>8.7670277167937183E-3</v>
      </c>
    </row>
    <row r="165" spans="1:45" ht="15">
      <c r="A165" s="51">
        <v>44111</v>
      </c>
      <c r="B165" s="48">
        <v>6.0199999999999997E-2</v>
      </c>
      <c r="C165" s="16"/>
      <c r="D165" s="51">
        <v>44474</v>
      </c>
      <c r="E165" s="48">
        <v>6.25E-2</v>
      </c>
      <c r="F165" s="16"/>
      <c r="G165" s="51">
        <v>44841</v>
      </c>
      <c r="H165" s="48">
        <v>7.46E-2</v>
      </c>
      <c r="I165" s="16"/>
      <c r="J165" s="51">
        <v>45208</v>
      </c>
      <c r="K165" s="48">
        <v>7.3999999999999996E-2</v>
      </c>
      <c r="L165" s="16"/>
      <c r="M165" s="51">
        <v>45569</v>
      </c>
      <c r="N165" s="48">
        <v>6.8199999999999997E-2</v>
      </c>
      <c r="O165" s="16"/>
      <c r="P165" s="16"/>
      <c r="Q165" s="51">
        <v>44110</v>
      </c>
      <c r="R165" s="49">
        <v>847</v>
      </c>
      <c r="S165" s="50">
        <v>16503.77</v>
      </c>
      <c r="T165" s="16">
        <f t="shared" ref="T165:U165" si="607">R165/R166-1</f>
        <v>6.8350668647845225E-3</v>
      </c>
      <c r="U165" s="16">
        <f t="shared" si="607"/>
        <v>1.3824797035639325E-2</v>
      </c>
      <c r="V165" s="16"/>
      <c r="W165" s="51">
        <v>44475</v>
      </c>
      <c r="X165" s="50">
        <v>1387.35</v>
      </c>
      <c r="Y165" s="50">
        <v>25526.98</v>
      </c>
      <c r="Z165" s="16">
        <f t="shared" ref="Z165:AA165" si="608">X165/X166-1</f>
        <v>-1.794436186026771E-2</v>
      </c>
      <c r="AA165" s="16">
        <f t="shared" si="608"/>
        <v>7.4058814522253158E-3</v>
      </c>
      <c r="AB165" s="16"/>
      <c r="AC165" s="51">
        <v>44841</v>
      </c>
      <c r="AD165" s="50">
        <v>1023.85</v>
      </c>
      <c r="AE165" s="50">
        <v>25140.99</v>
      </c>
      <c r="AF165" s="16">
        <f t="shared" ref="AF165:AG165" si="609">AD165/AD166-1</f>
        <v>-7.2720221069471069E-3</v>
      </c>
      <c r="AG165" s="16">
        <f t="shared" si="609"/>
        <v>-9.8784662548645485E-4</v>
      </c>
      <c r="AH165" s="16"/>
      <c r="AI165" s="47">
        <v>45198</v>
      </c>
      <c r="AJ165" s="50">
        <v>1223.0999999999999</v>
      </c>
      <c r="AK165" s="50">
        <v>28830.080000000002</v>
      </c>
      <c r="AL165" s="16">
        <f t="shared" ref="AL165:AM165" si="610">AJ165/AJ166-1</f>
        <v>-5.2053680357869725E-3</v>
      </c>
      <c r="AM165" s="16">
        <f t="shared" si="610"/>
        <v>5.5144449439643584E-3</v>
      </c>
      <c r="AN165" s="16"/>
      <c r="AO165" s="51">
        <v>45569</v>
      </c>
      <c r="AP165" s="50">
        <v>1616.5</v>
      </c>
      <c r="AQ165" s="50">
        <v>36808.370000000003</v>
      </c>
      <c r="AR165" s="16">
        <f t="shared" ref="AR165:AS165" si="611">AP165/AP166-1</f>
        <v>8.3273555188223547E-3</v>
      </c>
      <c r="AS165" s="16">
        <f t="shared" si="611"/>
        <v>-8.7490322015981725E-3</v>
      </c>
    </row>
    <row r="166" spans="1:45" ht="15">
      <c r="A166" s="51">
        <v>44110</v>
      </c>
      <c r="B166" s="48">
        <v>6.0299999999999999E-2</v>
      </c>
      <c r="C166" s="16"/>
      <c r="D166" s="51">
        <v>44473</v>
      </c>
      <c r="E166" s="48">
        <v>6.2399999999999997E-2</v>
      </c>
      <c r="F166" s="16"/>
      <c r="G166" s="51">
        <v>44840</v>
      </c>
      <c r="H166" s="48">
        <v>7.46E-2</v>
      </c>
      <c r="I166" s="16"/>
      <c r="J166" s="51">
        <v>45205</v>
      </c>
      <c r="K166" s="48">
        <v>7.3999999999999996E-2</v>
      </c>
      <c r="L166" s="16"/>
      <c r="M166" s="51">
        <v>45568</v>
      </c>
      <c r="N166" s="48">
        <v>6.7699999999999996E-2</v>
      </c>
      <c r="O166" s="16"/>
      <c r="P166" s="16"/>
      <c r="Q166" s="51">
        <v>44109</v>
      </c>
      <c r="R166" s="49">
        <v>841.25</v>
      </c>
      <c r="S166" s="50">
        <v>16278.72</v>
      </c>
      <c r="T166" s="16">
        <f t="shared" ref="T166:U166" si="612">R166/R167-1</f>
        <v>2.2609858384489145E-2</v>
      </c>
      <c r="U166" s="16">
        <f t="shared" si="612"/>
        <v>7.5684990010174147E-3</v>
      </c>
      <c r="V166" s="16"/>
      <c r="W166" s="51">
        <v>44474</v>
      </c>
      <c r="X166" s="50">
        <v>1412.7</v>
      </c>
      <c r="Y166" s="50">
        <v>25339.32</v>
      </c>
      <c r="Z166" s="16">
        <f t="shared" ref="Z166:AA166" si="613">X166/X167-1</f>
        <v>9.7566205639540993E-3</v>
      </c>
      <c r="AA166" s="16">
        <f t="shared" si="613"/>
        <v>9.0823833938971088E-3</v>
      </c>
      <c r="AB166" s="16"/>
      <c r="AC166" s="51">
        <v>44840</v>
      </c>
      <c r="AD166" s="50">
        <v>1031.3499999999999</v>
      </c>
      <c r="AE166" s="50">
        <v>25165.85</v>
      </c>
      <c r="AF166" s="16">
        <f t="shared" ref="AF166:AG166" si="614">AD166/AD167-1</f>
        <v>2.9660604881842634E-3</v>
      </c>
      <c r="AG166" s="16">
        <f t="shared" si="614"/>
        <v>3.3274341081530601E-3</v>
      </c>
      <c r="AH166" s="16"/>
      <c r="AI166" s="47">
        <v>45197</v>
      </c>
      <c r="AJ166" s="50">
        <v>1229.5</v>
      </c>
      <c r="AK166" s="50">
        <v>28671.97</v>
      </c>
      <c r="AL166" s="16">
        <f t="shared" ref="AL166:AM166" si="615">AJ166/AJ167-1</f>
        <v>-4.5900748845691286E-2</v>
      </c>
      <c r="AM166" s="16">
        <f t="shared" si="615"/>
        <v>5.6413056936011063E-3</v>
      </c>
      <c r="AN166" s="16"/>
      <c r="AO166" s="51">
        <v>45568</v>
      </c>
      <c r="AP166" s="50">
        <v>1603.15</v>
      </c>
      <c r="AQ166" s="50">
        <v>37133.25</v>
      </c>
      <c r="AR166" s="16">
        <f t="shared" ref="AR166:AS166" si="616">AP166/AP167-1</f>
        <v>-1.3901276333999624E-2</v>
      </c>
      <c r="AS166" s="16">
        <f t="shared" si="616"/>
        <v>-9.3266678832232275E-3</v>
      </c>
    </row>
    <row r="167" spans="1:45" ht="15">
      <c r="A167" s="51">
        <v>44109</v>
      </c>
      <c r="B167" s="48">
        <v>6.0100000000000001E-2</v>
      </c>
      <c r="C167" s="16"/>
      <c r="D167" s="51">
        <v>44470</v>
      </c>
      <c r="E167" s="48">
        <v>6.2399999999999997E-2</v>
      </c>
      <c r="F167" s="16"/>
      <c r="G167" s="51">
        <v>44838</v>
      </c>
      <c r="H167" s="48">
        <v>7.3700000000000002E-2</v>
      </c>
      <c r="I167" s="16"/>
      <c r="J167" s="51">
        <v>45204</v>
      </c>
      <c r="K167" s="48">
        <v>7.2599999999999998E-2</v>
      </c>
      <c r="L167" s="16"/>
      <c r="M167" s="51">
        <v>45566</v>
      </c>
      <c r="N167" s="48">
        <v>6.7500000000000004E-2</v>
      </c>
      <c r="O167" s="16"/>
      <c r="P167" s="16"/>
      <c r="Q167" s="51">
        <v>44105</v>
      </c>
      <c r="R167" s="49">
        <v>822.65</v>
      </c>
      <c r="S167" s="50">
        <v>16156.44</v>
      </c>
      <c r="T167" s="16">
        <f t="shared" ref="T167:U167" si="617">R167/R168-1</f>
        <v>3.9093090817228671E-2</v>
      </c>
      <c r="U167" s="16">
        <f t="shared" si="617"/>
        <v>1.5060891942560994E-2</v>
      </c>
      <c r="V167" s="16"/>
      <c r="W167" s="51">
        <v>44473</v>
      </c>
      <c r="X167" s="50">
        <v>1399.05</v>
      </c>
      <c r="Y167" s="50">
        <v>25111.25</v>
      </c>
      <c r="Z167" s="16">
        <f t="shared" ref="Z167:AA167" si="618">X167/X168-1</f>
        <v>2.0013123359580165E-2</v>
      </c>
      <c r="AA167" s="16">
        <f t="shared" si="618"/>
        <v>-4.8869467559780055E-3</v>
      </c>
      <c r="AB167" s="16"/>
      <c r="AC167" s="51">
        <v>44838</v>
      </c>
      <c r="AD167" s="50">
        <v>1028.3</v>
      </c>
      <c r="AE167" s="50">
        <v>25082.39</v>
      </c>
      <c r="AF167" s="16">
        <f t="shared" ref="AF167:AG167" si="619">AD167/AD168-1</f>
        <v>2.2065401053573241E-2</v>
      </c>
      <c r="AG167" s="16">
        <f t="shared" si="619"/>
        <v>2.2914277511243641E-2</v>
      </c>
      <c r="AH167" s="16"/>
      <c r="AI167" s="47">
        <v>45196</v>
      </c>
      <c r="AJ167" s="50">
        <v>1288.6500000000001</v>
      </c>
      <c r="AK167" s="50">
        <v>28511.13</v>
      </c>
      <c r="AL167" s="16">
        <f t="shared" ref="AL167:AM167" si="620">AJ167/AJ168-1</f>
        <v>4.9128553047141921E-3</v>
      </c>
      <c r="AM167" s="16">
        <f t="shared" si="620"/>
        <v>-4.7442946985098988E-3</v>
      </c>
      <c r="AN167" s="16"/>
      <c r="AO167" s="51">
        <v>45566</v>
      </c>
      <c r="AP167" s="50">
        <v>1625.75</v>
      </c>
      <c r="AQ167" s="50">
        <v>37482.839999999997</v>
      </c>
      <c r="AR167" s="16">
        <f t="shared" ref="AR167:AS167" si="621">AP167/AP168-1</f>
        <v>3.1501808260897102E-2</v>
      </c>
      <c r="AS167" s="16">
        <f t="shared" si="621"/>
        <v>-2.1196233196690839E-2</v>
      </c>
    </row>
    <row r="168" spans="1:45" ht="15">
      <c r="A168" s="51">
        <v>44105</v>
      </c>
      <c r="B168" s="48">
        <v>0.06</v>
      </c>
      <c r="C168" s="16"/>
      <c r="D168" s="47">
        <v>44469</v>
      </c>
      <c r="E168" s="48">
        <v>6.2199999999999998E-2</v>
      </c>
      <c r="F168" s="16"/>
      <c r="G168" s="51">
        <v>44837</v>
      </c>
      <c r="H168" s="48">
        <v>7.46E-2</v>
      </c>
      <c r="I168" s="16"/>
      <c r="J168" s="51">
        <v>45203</v>
      </c>
      <c r="K168" s="48">
        <v>7.2900000000000006E-2</v>
      </c>
      <c r="L168" s="16"/>
      <c r="M168" s="47">
        <v>45565</v>
      </c>
      <c r="N168" s="48">
        <v>6.7500000000000004E-2</v>
      </c>
      <c r="O168" s="16"/>
      <c r="P168" s="16"/>
      <c r="Q168" s="47">
        <v>44104</v>
      </c>
      <c r="R168" s="49">
        <v>791.7</v>
      </c>
      <c r="S168" s="50">
        <v>15916.72</v>
      </c>
      <c r="T168" s="16">
        <f t="shared" ref="T168:U168" si="622">R168/R169-1</f>
        <v>3.059099192918513E-2</v>
      </c>
      <c r="U168" s="16">
        <f t="shared" si="622"/>
        <v>2.2391311465912445E-3</v>
      </c>
      <c r="V168" s="16"/>
      <c r="W168" s="51">
        <v>44470</v>
      </c>
      <c r="X168" s="50">
        <v>1371.6</v>
      </c>
      <c r="Y168" s="50">
        <v>25234.57</v>
      </c>
      <c r="Z168" s="16">
        <f t="shared" ref="Z168:AA168" si="623">X168/X169-1</f>
        <v>-6.7707013287955364E-3</v>
      </c>
      <c r="AA168" s="16">
        <f t="shared" si="623"/>
        <v>-5.2593839716903457E-3</v>
      </c>
      <c r="AB168" s="16"/>
      <c r="AC168" s="51">
        <v>44837</v>
      </c>
      <c r="AD168" s="50">
        <v>1006.1</v>
      </c>
      <c r="AE168" s="50">
        <v>24520.52</v>
      </c>
      <c r="AF168" s="16">
        <f t="shared" ref="AF168:AG168" si="624">AD168/AD169-1</f>
        <v>-2.0829200555445571E-3</v>
      </c>
      <c r="AG168" s="16">
        <f t="shared" si="624"/>
        <v>-1.2109062135894244E-2</v>
      </c>
      <c r="AH168" s="16"/>
      <c r="AI168" s="47">
        <v>45195</v>
      </c>
      <c r="AJ168" s="50">
        <v>1282.3499999999999</v>
      </c>
      <c r="AK168" s="50">
        <v>28647.040000000001</v>
      </c>
      <c r="AL168" s="16">
        <f t="shared" ref="AL168:AM168" si="625">AJ168/AJ169-1</f>
        <v>-1.2817551963048568E-2</v>
      </c>
      <c r="AM168" s="16">
        <f t="shared" si="625"/>
        <v>-5.5793975028264331E-3</v>
      </c>
      <c r="AN168" s="16"/>
      <c r="AO168" s="47">
        <v>45565</v>
      </c>
      <c r="AP168" s="50">
        <v>1576.1</v>
      </c>
      <c r="AQ168" s="50">
        <v>38294.54</v>
      </c>
      <c r="AR168" s="16">
        <f t="shared" ref="AR168:AS168" si="626">AP168/AP169-1</f>
        <v>-2.0964686150883649E-2</v>
      </c>
      <c r="AS168" s="16">
        <f t="shared" si="626"/>
        <v>-5.3947244449392695E-4</v>
      </c>
    </row>
    <row r="169" spans="1:45" ht="15">
      <c r="A169" s="47">
        <v>44104</v>
      </c>
      <c r="B169" s="48">
        <v>6.0199999999999997E-2</v>
      </c>
      <c r="C169" s="16"/>
      <c r="D169" s="47">
        <v>44468</v>
      </c>
      <c r="E169" s="48">
        <v>6.2300000000000001E-2</v>
      </c>
      <c r="F169" s="16"/>
      <c r="G169" s="47">
        <v>44834</v>
      </c>
      <c r="H169" s="48">
        <v>7.3499999999999996E-2</v>
      </c>
      <c r="I169" s="16"/>
      <c r="J169" s="51">
        <v>45202</v>
      </c>
      <c r="K169" s="48">
        <v>7.2700000000000001E-2</v>
      </c>
      <c r="L169" s="16"/>
      <c r="M169" s="47">
        <v>45562</v>
      </c>
      <c r="N169" s="48">
        <v>6.7500000000000004E-2</v>
      </c>
      <c r="O169" s="16"/>
      <c r="P169" s="16"/>
      <c r="Q169" s="47">
        <v>44103</v>
      </c>
      <c r="R169" s="49">
        <v>768.2</v>
      </c>
      <c r="S169" s="50">
        <v>15881.16</v>
      </c>
      <c r="T169" s="16">
        <f t="shared" ref="T169:U169" si="627">R169/R170-1</f>
        <v>-1.4370028226841081E-2</v>
      </c>
      <c r="U169" s="16">
        <f t="shared" si="627"/>
        <v>-4.5819476298492035E-4</v>
      </c>
      <c r="V169" s="16"/>
      <c r="W169" s="47">
        <v>44469</v>
      </c>
      <c r="X169" s="50">
        <v>1380.95</v>
      </c>
      <c r="Y169" s="50">
        <v>25367.99</v>
      </c>
      <c r="Z169" s="16">
        <f t="shared" ref="Z169:AA169" si="628">X169/X170-1</f>
        <v>-1.0426370476531721E-2</v>
      </c>
      <c r="AA169" s="16">
        <f t="shared" si="628"/>
        <v>-2.1033410354872606E-3</v>
      </c>
      <c r="AB169" s="16"/>
      <c r="AC169" s="47">
        <v>44834</v>
      </c>
      <c r="AD169" s="50">
        <v>1008.2</v>
      </c>
      <c r="AE169" s="50">
        <v>24821.08</v>
      </c>
      <c r="AF169" s="16">
        <f t="shared" ref="AF169:AG169" si="629">AD169/AD170-1</f>
        <v>-2.2761009401286447E-3</v>
      </c>
      <c r="AG169" s="16">
        <f t="shared" si="629"/>
        <v>1.6425074877211232E-2</v>
      </c>
      <c r="AH169" s="16"/>
      <c r="AI169" s="47">
        <v>45194</v>
      </c>
      <c r="AJ169" s="50">
        <v>1299</v>
      </c>
      <c r="AK169" s="50">
        <v>28807.77</v>
      </c>
      <c r="AL169" s="16">
        <f t="shared" ref="AL169:AM169" si="630">AJ169/AJ170-1</f>
        <v>-4.5977011494252595E-3</v>
      </c>
      <c r="AM169" s="16">
        <f t="shared" si="630"/>
        <v>5.8775590584174697E-3</v>
      </c>
      <c r="AN169" s="16"/>
      <c r="AO169" s="47">
        <v>45562</v>
      </c>
      <c r="AP169" s="50">
        <v>1609.85</v>
      </c>
      <c r="AQ169" s="50">
        <v>38315.21</v>
      </c>
      <c r="AR169" s="16">
        <f t="shared" ref="AR169:AS169" si="631">AP169/AP170-1</f>
        <v>1.929360510346978E-3</v>
      </c>
      <c r="AS169" s="16">
        <f t="shared" si="631"/>
        <v>-1.4060909421218515E-2</v>
      </c>
    </row>
    <row r="170" spans="1:45" ht="15">
      <c r="A170" s="47">
        <v>44103</v>
      </c>
      <c r="B170" s="48">
        <v>6.0400000000000002E-2</v>
      </c>
      <c r="C170" s="16"/>
      <c r="D170" s="47">
        <v>44467</v>
      </c>
      <c r="E170" s="48">
        <v>6.2700000000000006E-2</v>
      </c>
      <c r="F170" s="16"/>
      <c r="G170" s="47">
        <v>44833</v>
      </c>
      <c r="H170" s="48">
        <v>7.3400000000000007E-2</v>
      </c>
      <c r="I170" s="16"/>
      <c r="J170" s="51">
        <v>45200</v>
      </c>
      <c r="K170" s="48">
        <v>7.2499999999999995E-2</v>
      </c>
      <c r="L170" s="16"/>
      <c r="M170" s="47">
        <v>45561</v>
      </c>
      <c r="N170" s="48">
        <v>6.7199999999999996E-2</v>
      </c>
      <c r="O170" s="16"/>
      <c r="P170" s="16"/>
      <c r="Q170" s="47">
        <v>44102</v>
      </c>
      <c r="R170" s="49">
        <v>779.4</v>
      </c>
      <c r="S170" s="50">
        <v>15888.44</v>
      </c>
      <c r="T170" s="16">
        <f t="shared" ref="T170:U170" si="632">R170/R171-1</f>
        <v>8.8667400168274124E-3</v>
      </c>
      <c r="U170" s="16">
        <f t="shared" si="632"/>
        <v>1.6045372894568422E-2</v>
      </c>
      <c r="V170" s="16"/>
      <c r="W170" s="47">
        <v>44468</v>
      </c>
      <c r="X170" s="50">
        <v>1395.5</v>
      </c>
      <c r="Y170" s="50">
        <v>25421.46</v>
      </c>
      <c r="Z170" s="16">
        <f t="shared" ref="Z170:AA170" si="633">X170/X171-1</f>
        <v>-1.3432308236125845E-2</v>
      </c>
      <c r="AA170" s="16">
        <f t="shared" si="633"/>
        <v>-5.9642629093075161E-3</v>
      </c>
      <c r="AB170" s="16"/>
      <c r="AC170" s="47">
        <v>44833</v>
      </c>
      <c r="AD170" s="50">
        <v>1010.5</v>
      </c>
      <c r="AE170" s="50">
        <v>24419.98</v>
      </c>
      <c r="AF170" s="16">
        <f t="shared" ref="AF170:AG170" si="634">AD170/AD171-1</f>
        <v>-1.8550893550893455E-2</v>
      </c>
      <c r="AG170" s="16">
        <f t="shared" si="634"/>
        <v>-2.4037106363786753E-3</v>
      </c>
      <c r="AH170" s="16"/>
      <c r="AI170" s="47">
        <v>45191</v>
      </c>
      <c r="AJ170" s="50">
        <v>1305</v>
      </c>
      <c r="AK170" s="50">
        <v>28639.439999999999</v>
      </c>
      <c r="AL170" s="16">
        <f t="shared" ref="AL170:AM170" si="635">AJ170/AJ171-1</f>
        <v>9.3978419770275323E-3</v>
      </c>
      <c r="AM170" s="16">
        <f t="shared" si="635"/>
        <v>-9.7844475723513069E-3</v>
      </c>
      <c r="AN170" s="16"/>
      <c r="AO170" s="47">
        <v>45561</v>
      </c>
      <c r="AP170" s="50">
        <v>1606.75</v>
      </c>
      <c r="AQ170" s="50">
        <v>38861.64</v>
      </c>
      <c r="AR170" s="16">
        <f t="shared" ref="AR170:AS170" si="636">AP170/AP171-1</f>
        <v>3.0902734423774447E-3</v>
      </c>
      <c r="AS170" s="16">
        <f t="shared" si="636"/>
        <v>-1.4163563462118445E-3</v>
      </c>
    </row>
    <row r="171" spans="1:45" ht="15">
      <c r="A171" s="47">
        <v>44102</v>
      </c>
      <c r="B171" s="48">
        <v>6.0600000000000001E-2</v>
      </c>
      <c r="C171" s="16"/>
      <c r="D171" s="47">
        <v>44466</v>
      </c>
      <c r="E171" s="48">
        <v>6.2600000000000003E-2</v>
      </c>
      <c r="F171" s="16"/>
      <c r="G171" s="47">
        <v>44832</v>
      </c>
      <c r="H171" s="48">
        <v>7.3400000000000007E-2</v>
      </c>
      <c r="I171" s="16"/>
      <c r="J171" s="47">
        <v>45198</v>
      </c>
      <c r="K171" s="48">
        <v>7.2499999999999995E-2</v>
      </c>
      <c r="L171" s="16"/>
      <c r="M171" s="47">
        <v>45560</v>
      </c>
      <c r="N171" s="48">
        <v>6.7500000000000004E-2</v>
      </c>
      <c r="O171" s="16"/>
      <c r="P171" s="16"/>
      <c r="Q171" s="47">
        <v>44099</v>
      </c>
      <c r="R171" s="49">
        <v>772.55</v>
      </c>
      <c r="S171" s="50">
        <v>15637.53</v>
      </c>
      <c r="T171" s="16">
        <f t="shared" ref="T171:U171" si="637">R171/R172-1</f>
        <v>2.8215878086111479E-2</v>
      </c>
      <c r="U171" s="16">
        <f t="shared" si="637"/>
        <v>2.2645630671135564E-2</v>
      </c>
      <c r="V171" s="16"/>
      <c r="W171" s="47">
        <v>44467</v>
      </c>
      <c r="X171" s="50">
        <v>1414.5</v>
      </c>
      <c r="Y171" s="50">
        <v>25573.99</v>
      </c>
      <c r="Z171" s="16">
        <f t="shared" ref="Z171:AA171" si="638">X171/X172-1</f>
        <v>-3.4108368329407002E-2</v>
      </c>
      <c r="AA171" s="16">
        <f t="shared" si="638"/>
        <v>1.0754269249368953E-4</v>
      </c>
      <c r="AB171" s="16"/>
      <c r="AC171" s="47">
        <v>44832</v>
      </c>
      <c r="AD171" s="50">
        <v>1029.5999999999999</v>
      </c>
      <c r="AE171" s="50">
        <v>24478.82</v>
      </c>
      <c r="AF171" s="16">
        <f t="shared" ref="AF171:AG171" si="639">AD171/AD172-1</f>
        <v>6.943765281173464E-3</v>
      </c>
      <c r="AG171" s="16">
        <f t="shared" si="639"/>
        <v>-8.7471750159852091E-3</v>
      </c>
      <c r="AH171" s="16"/>
      <c r="AI171" s="47">
        <v>45190</v>
      </c>
      <c r="AJ171" s="50">
        <v>1292.8499999999999</v>
      </c>
      <c r="AK171" s="50">
        <v>28922.43</v>
      </c>
      <c r="AL171" s="16">
        <f t="shared" ref="AL171:AM171" si="640">AJ171/AJ172-1</f>
        <v>1.4636634751216349E-2</v>
      </c>
      <c r="AM171" s="16">
        <f t="shared" si="640"/>
        <v>2.6332511395674718E-3</v>
      </c>
      <c r="AN171" s="16"/>
      <c r="AO171" s="47">
        <v>45560</v>
      </c>
      <c r="AP171" s="50">
        <v>1601.8</v>
      </c>
      <c r="AQ171" s="50">
        <v>38916.76</v>
      </c>
      <c r="AR171" s="16">
        <f t="shared" ref="AR171:AS171" si="641">AP171/AP172-1</f>
        <v>-2.2070270765285893E-2</v>
      </c>
      <c r="AS171" s="16">
        <f t="shared" si="641"/>
        <v>8.1484971974403742E-3</v>
      </c>
    </row>
    <row r="172" spans="1:45" ht="15">
      <c r="A172" s="47">
        <v>44099</v>
      </c>
      <c r="B172" s="48">
        <v>6.0400000000000002E-2</v>
      </c>
      <c r="C172" s="16"/>
      <c r="D172" s="47">
        <v>44463</v>
      </c>
      <c r="E172" s="48">
        <v>6.2600000000000003E-2</v>
      </c>
      <c r="F172" s="16"/>
      <c r="G172" s="47">
        <v>44831</v>
      </c>
      <c r="H172" s="48">
        <v>7.2999999999999995E-2</v>
      </c>
      <c r="I172" s="16"/>
      <c r="J172" s="47">
        <v>45197</v>
      </c>
      <c r="K172" s="48">
        <v>7.2700000000000001E-2</v>
      </c>
      <c r="L172" s="16"/>
      <c r="M172" s="47">
        <v>45559</v>
      </c>
      <c r="N172" s="48">
        <v>6.7699999999999996E-2</v>
      </c>
      <c r="O172" s="16"/>
      <c r="P172" s="16"/>
      <c r="Q172" s="47">
        <v>44098</v>
      </c>
      <c r="R172" s="49">
        <v>751.35</v>
      </c>
      <c r="S172" s="50">
        <v>15291.25</v>
      </c>
      <c r="T172" s="16">
        <f t="shared" ref="T172:U172" si="642">R172/R173-1</f>
        <v>-5.2283047426841534E-2</v>
      </c>
      <c r="U172" s="16">
        <f t="shared" si="642"/>
        <v>-2.9310028521605691E-2</v>
      </c>
      <c r="V172" s="16"/>
      <c r="W172" s="47">
        <v>44466</v>
      </c>
      <c r="X172" s="50">
        <v>1464.45</v>
      </c>
      <c r="Y172" s="50">
        <v>25571.24</v>
      </c>
      <c r="Z172" s="16">
        <f t="shared" ref="Z172:AA172" si="643">X172/X173-1</f>
        <v>-3.2983359746434293E-2</v>
      </c>
      <c r="AA172" s="16">
        <f t="shared" si="643"/>
        <v>1.6969655185383736E-3</v>
      </c>
      <c r="AB172" s="16"/>
      <c r="AC172" s="47">
        <v>44831</v>
      </c>
      <c r="AD172" s="50">
        <v>1022.5</v>
      </c>
      <c r="AE172" s="50">
        <v>24694.83</v>
      </c>
      <c r="AF172" s="16">
        <f t="shared" ref="AF172:AG172" si="644">AD172/AD173-1</f>
        <v>-1.0834865047886333E-2</v>
      </c>
      <c r="AG172" s="16">
        <f t="shared" si="644"/>
        <v>-5.2372188991556268E-4</v>
      </c>
      <c r="AH172" s="16"/>
      <c r="AI172" s="47">
        <v>45189</v>
      </c>
      <c r="AJ172" s="50">
        <v>1274.2</v>
      </c>
      <c r="AK172" s="50">
        <v>28846.47</v>
      </c>
      <c r="AL172" s="16">
        <f t="shared" ref="AL172:AM172" si="645">AJ172/AJ173-1</f>
        <v>-1.1788428726539513E-2</v>
      </c>
      <c r="AM172" s="16">
        <f t="shared" si="645"/>
        <v>-4.9998440797061061E-4</v>
      </c>
      <c r="AN172" s="16"/>
      <c r="AO172" s="47">
        <v>45559</v>
      </c>
      <c r="AP172" s="50">
        <v>1637.95</v>
      </c>
      <c r="AQ172" s="50">
        <v>38602.21</v>
      </c>
      <c r="AR172" s="16">
        <f t="shared" ref="AR172:AS172" si="646">AP172/AP173-1</f>
        <v>1.8752332379649239E-2</v>
      </c>
      <c r="AS172" s="16">
        <f t="shared" si="646"/>
        <v>2.4582192323323593E-3</v>
      </c>
    </row>
    <row r="173" spans="1:45" ht="15">
      <c r="A173" s="47">
        <v>44098</v>
      </c>
      <c r="B173" s="48">
        <v>6.0100000000000001E-2</v>
      </c>
      <c r="C173" s="16"/>
      <c r="D173" s="47">
        <v>44462</v>
      </c>
      <c r="E173" s="48">
        <v>6.2300000000000001E-2</v>
      </c>
      <c r="F173" s="16"/>
      <c r="G173" s="47">
        <v>44830</v>
      </c>
      <c r="H173" s="48">
        <v>7.3599999999999999E-2</v>
      </c>
      <c r="I173" s="16"/>
      <c r="J173" s="47">
        <v>45196</v>
      </c>
      <c r="K173" s="48">
        <v>7.1900000000000006E-2</v>
      </c>
      <c r="L173" s="16"/>
      <c r="M173" s="47">
        <v>45558</v>
      </c>
      <c r="N173" s="48">
        <v>6.7599999999999993E-2</v>
      </c>
      <c r="O173" s="16"/>
      <c r="P173" s="16"/>
      <c r="Q173" s="47">
        <v>44097</v>
      </c>
      <c r="R173" s="49">
        <v>792.8</v>
      </c>
      <c r="S173" s="50">
        <v>15752.97</v>
      </c>
      <c r="T173" s="16">
        <f t="shared" ref="T173:U173" si="647">R173/R174-1</f>
        <v>-9.6189881324173498E-3</v>
      </c>
      <c r="U173" s="16">
        <f t="shared" si="647"/>
        <v>-1.9576947858795934E-3</v>
      </c>
      <c r="V173" s="16"/>
      <c r="W173" s="47">
        <v>44463</v>
      </c>
      <c r="X173" s="50">
        <v>1514.4</v>
      </c>
      <c r="Y173" s="50">
        <v>25527.919999999998</v>
      </c>
      <c r="Z173" s="16">
        <f t="shared" ref="Z173:AA173" si="648">X173/X174-1</f>
        <v>-4.470155140678389E-3</v>
      </c>
      <c r="AA173" s="16">
        <f t="shared" si="648"/>
        <v>1.5747558406264295E-2</v>
      </c>
      <c r="AB173" s="16"/>
      <c r="AC173" s="47">
        <v>44830</v>
      </c>
      <c r="AD173" s="50">
        <v>1033.7</v>
      </c>
      <c r="AE173" s="50">
        <v>24707.77</v>
      </c>
      <c r="AF173" s="16">
        <f t="shared" ref="AF173:AG173" si="649">AD173/AD174-1</f>
        <v>-1.352526325958725E-3</v>
      </c>
      <c r="AG173" s="16">
        <f t="shared" si="649"/>
        <v>-1.7951526704510612E-2</v>
      </c>
      <c r="AH173" s="16"/>
      <c r="AI173" s="47">
        <v>45187</v>
      </c>
      <c r="AJ173" s="50">
        <v>1289.4000000000001</v>
      </c>
      <c r="AK173" s="50">
        <v>28860.9</v>
      </c>
      <c r="AL173" s="16">
        <f t="shared" ref="AL173:AM173" si="650">AJ173/AJ174-1</f>
        <v>-7.3520920743677109E-3</v>
      </c>
      <c r="AM173" s="16">
        <f t="shared" si="650"/>
        <v>1.5245772243543954E-5</v>
      </c>
      <c r="AN173" s="16"/>
      <c r="AO173" s="47">
        <v>45558</v>
      </c>
      <c r="AP173" s="50">
        <v>1607.8</v>
      </c>
      <c r="AQ173" s="50">
        <v>38507.550000000003</v>
      </c>
      <c r="AR173" s="16">
        <f t="shared" ref="AR173:AS173" si="651">AP173/AP174-1</f>
        <v>-8.9379276336065683E-3</v>
      </c>
      <c r="AS173" s="16">
        <f t="shared" si="651"/>
        <v>5.2979430736010968E-5</v>
      </c>
    </row>
    <row r="174" spans="1:45" ht="15">
      <c r="A174" s="47">
        <v>44097</v>
      </c>
      <c r="B174" s="48">
        <v>5.9900000000000002E-2</v>
      </c>
      <c r="C174" s="16"/>
      <c r="D174" s="47">
        <v>44461</v>
      </c>
      <c r="E174" s="48">
        <v>6.2300000000000001E-2</v>
      </c>
      <c r="F174" s="16"/>
      <c r="G174" s="47">
        <v>44827</v>
      </c>
      <c r="H174" s="48">
        <v>7.3999999999999996E-2</v>
      </c>
      <c r="I174" s="16"/>
      <c r="J174" s="47">
        <v>45195</v>
      </c>
      <c r="K174" s="48">
        <v>7.1900000000000006E-2</v>
      </c>
      <c r="L174" s="16"/>
      <c r="M174" s="47">
        <v>45555</v>
      </c>
      <c r="N174" s="48">
        <v>6.7699999999999996E-2</v>
      </c>
      <c r="O174" s="16"/>
      <c r="P174" s="16"/>
      <c r="Q174" s="47">
        <v>44096</v>
      </c>
      <c r="R174" s="49">
        <v>800.5</v>
      </c>
      <c r="S174" s="50">
        <v>15783.87</v>
      </c>
      <c r="T174" s="16">
        <f t="shared" ref="T174:U174" si="652">R174/R175-1</f>
        <v>1.6959918694022802E-2</v>
      </c>
      <c r="U174" s="16">
        <f t="shared" si="652"/>
        <v>-8.6125297484640484E-3</v>
      </c>
      <c r="V174" s="16"/>
      <c r="W174" s="47">
        <v>44462</v>
      </c>
      <c r="X174" s="50">
        <v>1521.2</v>
      </c>
      <c r="Y174" s="50">
        <v>25132.15</v>
      </c>
      <c r="Z174" s="16">
        <f t="shared" ref="Z174:AA174" si="653">X174/X175-1</f>
        <v>4.7224332089430554E-3</v>
      </c>
      <c r="AA174" s="16">
        <f t="shared" si="653"/>
        <v>-8.7500437303400513E-4</v>
      </c>
      <c r="AB174" s="16"/>
      <c r="AC174" s="47">
        <v>44827</v>
      </c>
      <c r="AD174" s="50">
        <v>1035.0999999999999</v>
      </c>
      <c r="AE174" s="50">
        <v>25159.42</v>
      </c>
      <c r="AF174" s="16">
        <f t="shared" ref="AF174:AG174" si="654">AD174/AD175-1</f>
        <v>-1.3062547673531655E-2</v>
      </c>
      <c r="AG174" s="16">
        <f t="shared" si="654"/>
        <v>-1.7156406991007289E-2</v>
      </c>
      <c r="AH174" s="16"/>
      <c r="AI174" s="47">
        <v>45184</v>
      </c>
      <c r="AJ174" s="50">
        <v>1298.95</v>
      </c>
      <c r="AK174" s="50">
        <v>28860.46</v>
      </c>
      <c r="AL174" s="16">
        <f t="shared" ref="AL174:AM174" si="655">AJ174/AJ175-1</f>
        <v>1.5082249052475349E-2</v>
      </c>
      <c r="AM174" s="16">
        <f t="shared" si="655"/>
        <v>-3.4495427543028701E-3</v>
      </c>
      <c r="AN174" s="16"/>
      <c r="AO174" s="47">
        <v>45555</v>
      </c>
      <c r="AP174" s="50">
        <v>1622.3</v>
      </c>
      <c r="AQ174" s="50">
        <v>38505.51</v>
      </c>
      <c r="AR174" s="16">
        <f t="shared" ref="AR174:AS174" si="656">AP174/AP175-1</f>
        <v>1.6988465396188479E-2</v>
      </c>
      <c r="AS174" s="16">
        <f t="shared" si="656"/>
        <v>5.7420961942158399E-3</v>
      </c>
    </row>
    <row r="175" spans="1:45" ht="15">
      <c r="A175" s="47">
        <v>44096</v>
      </c>
      <c r="B175" s="48">
        <v>6.0100000000000001E-2</v>
      </c>
      <c r="C175" s="16"/>
      <c r="D175" s="47">
        <v>44460</v>
      </c>
      <c r="E175" s="48">
        <v>6.2199999999999998E-2</v>
      </c>
      <c r="F175" s="16"/>
      <c r="G175" s="47">
        <v>44826</v>
      </c>
      <c r="H175" s="48">
        <v>7.3200000000000001E-2</v>
      </c>
      <c r="I175" s="16"/>
      <c r="J175" s="47">
        <v>45194</v>
      </c>
      <c r="K175" s="48">
        <v>7.1900000000000006E-2</v>
      </c>
      <c r="L175" s="16"/>
      <c r="M175" s="47">
        <v>45554</v>
      </c>
      <c r="N175" s="48">
        <v>6.7400000000000002E-2</v>
      </c>
      <c r="O175" s="16"/>
      <c r="P175" s="16"/>
      <c r="Q175" s="47">
        <v>44095</v>
      </c>
      <c r="R175" s="49">
        <v>787.15</v>
      </c>
      <c r="S175" s="50">
        <v>15920.99</v>
      </c>
      <c r="T175" s="16">
        <f t="shared" ref="T175:U175" si="657">R175/R176-1</f>
        <v>-2.2173913043478266E-2</v>
      </c>
      <c r="U175" s="16">
        <f t="shared" si="657"/>
        <v>-2.2112278115594908E-2</v>
      </c>
      <c r="V175" s="16"/>
      <c r="W175" s="47">
        <v>44461</v>
      </c>
      <c r="X175" s="50">
        <v>1514.05</v>
      </c>
      <c r="Y175" s="50">
        <v>25154.16</v>
      </c>
      <c r="Z175" s="16">
        <f t="shared" ref="Z175:AA175" si="658">X175/X176-1</f>
        <v>3.6985034759083657E-2</v>
      </c>
      <c r="AA175" s="16">
        <f t="shared" si="658"/>
        <v>9.4888296360982061E-3</v>
      </c>
      <c r="AB175" s="16"/>
      <c r="AC175" s="47">
        <v>44826</v>
      </c>
      <c r="AD175" s="50">
        <v>1048.8</v>
      </c>
      <c r="AE175" s="50">
        <v>25598.6</v>
      </c>
      <c r="AF175" s="16">
        <f t="shared" ref="AF175:AG175" si="659">AD175/AD176-1</f>
        <v>-1.0612706947785489E-2</v>
      </c>
      <c r="AG175" s="16">
        <f t="shared" si="659"/>
        <v>-4.9958934401156396E-3</v>
      </c>
      <c r="AH175" s="16"/>
      <c r="AI175" s="47">
        <v>45183</v>
      </c>
      <c r="AJ175" s="50">
        <v>1279.6500000000001</v>
      </c>
      <c r="AK175" s="50">
        <v>28960.36</v>
      </c>
      <c r="AL175" s="16">
        <f t="shared" ref="AL175:AM175" si="660">AJ175/AJ176-1</f>
        <v>1.5716156685319893E-2</v>
      </c>
      <c r="AM175" s="16">
        <f t="shared" si="660"/>
        <v>-7.9924805668621923E-3</v>
      </c>
      <c r="AN175" s="16"/>
      <c r="AO175" s="47">
        <v>45554</v>
      </c>
      <c r="AP175" s="50">
        <v>1595.2</v>
      </c>
      <c r="AQ175" s="50">
        <v>38285.67</v>
      </c>
      <c r="AR175" s="16">
        <f t="shared" ref="AR175:AS175" si="661">AP175/AP176-1</f>
        <v>-6.3226087769021611E-3</v>
      </c>
      <c r="AS175" s="16">
        <f t="shared" si="661"/>
        <v>1.4759005248771162E-2</v>
      </c>
    </row>
    <row r="176" spans="1:45" ht="15">
      <c r="A176" s="47">
        <v>44095</v>
      </c>
      <c r="B176" s="48">
        <v>6.0199999999999997E-2</v>
      </c>
      <c r="C176" s="16"/>
      <c r="D176" s="47">
        <v>44459</v>
      </c>
      <c r="E176" s="48">
        <v>6.2E-2</v>
      </c>
      <c r="F176" s="16"/>
      <c r="G176" s="47">
        <v>44825</v>
      </c>
      <c r="H176" s="48">
        <v>7.2400000000000006E-2</v>
      </c>
      <c r="I176" s="16"/>
      <c r="J176" s="47">
        <v>45191</v>
      </c>
      <c r="K176" s="48">
        <v>7.1599999999999997E-2</v>
      </c>
      <c r="L176" s="16"/>
      <c r="M176" s="47">
        <v>45552</v>
      </c>
      <c r="N176" s="48">
        <v>6.7699999999999996E-2</v>
      </c>
      <c r="O176" s="16"/>
      <c r="P176" s="16"/>
      <c r="Q176" s="47">
        <v>44092</v>
      </c>
      <c r="R176" s="49">
        <v>805</v>
      </c>
      <c r="S176" s="50">
        <v>16281</v>
      </c>
      <c r="T176" s="16">
        <f t="shared" ref="T176:U176" si="662">R176/R177-1</f>
        <v>2.2936654171167081E-2</v>
      </c>
      <c r="U176" s="16">
        <f t="shared" si="662"/>
        <v>-9.6828944122706595E-4</v>
      </c>
      <c r="V176" s="16"/>
      <c r="W176" s="47">
        <v>44460</v>
      </c>
      <c r="X176" s="50">
        <v>1460.05</v>
      </c>
      <c r="Y176" s="50">
        <v>24917.72</v>
      </c>
      <c r="Z176" s="16">
        <f t="shared" ref="Z176:AA176" si="663">X176/X177-1</f>
        <v>2.0478769875939218E-2</v>
      </c>
      <c r="AA176" s="16">
        <f t="shared" si="663"/>
        <v>-1.0704584128375605E-2</v>
      </c>
      <c r="AB176" s="16"/>
      <c r="AC176" s="47">
        <v>44825</v>
      </c>
      <c r="AD176" s="50">
        <v>1060.05</v>
      </c>
      <c r="AE176" s="50">
        <v>25727.13</v>
      </c>
      <c r="AF176" s="16">
        <f t="shared" ref="AF176:AG176" si="664">AD176/AD177-1</f>
        <v>4.2156119742327025E-3</v>
      </c>
      <c r="AG176" s="16">
        <f t="shared" si="664"/>
        <v>-5.4945500974707961E-3</v>
      </c>
      <c r="AH176" s="16"/>
      <c r="AI176" s="47">
        <v>45182</v>
      </c>
      <c r="AJ176" s="50">
        <v>1259.8499999999999</v>
      </c>
      <c r="AK176" s="50">
        <v>29193.69</v>
      </c>
      <c r="AL176" s="16">
        <f t="shared" ref="AL176:AM176" si="665">AJ176/AJ177-1</f>
        <v>-4.1892265739241763E-3</v>
      </c>
      <c r="AM176" s="16">
        <f t="shared" si="665"/>
        <v>-1.1519639627804112E-2</v>
      </c>
      <c r="AN176" s="16"/>
      <c r="AO176" s="47">
        <v>45553</v>
      </c>
      <c r="AP176" s="50">
        <v>1605.35</v>
      </c>
      <c r="AQ176" s="50">
        <v>37728.83</v>
      </c>
      <c r="AR176" s="16">
        <f t="shared" ref="AR176:AS176" si="666">AP176/AP177-1</f>
        <v>-2.7944293066908932E-2</v>
      </c>
      <c r="AS176" s="16">
        <f t="shared" si="666"/>
        <v>1.5077499141937789E-3</v>
      </c>
    </row>
    <row r="177" spans="1:45" ht="15">
      <c r="A177" s="47">
        <v>44092</v>
      </c>
      <c r="B177" s="48">
        <v>6.0100000000000001E-2</v>
      </c>
      <c r="C177" s="16"/>
      <c r="D177" s="47">
        <v>44456</v>
      </c>
      <c r="E177" s="48">
        <v>6.2399999999999997E-2</v>
      </c>
      <c r="F177" s="16"/>
      <c r="G177" s="47">
        <v>44824</v>
      </c>
      <c r="H177" s="48">
        <v>7.2700000000000001E-2</v>
      </c>
      <c r="I177" s="16"/>
      <c r="J177" s="47">
        <v>45190</v>
      </c>
      <c r="K177" s="48">
        <v>7.1900000000000006E-2</v>
      </c>
      <c r="L177" s="16"/>
      <c r="M177" s="47">
        <v>45551</v>
      </c>
      <c r="N177" s="48">
        <v>6.7699999999999996E-2</v>
      </c>
      <c r="O177" s="16"/>
      <c r="P177" s="16"/>
      <c r="Q177" s="47">
        <v>44091</v>
      </c>
      <c r="R177" s="49">
        <v>786.95</v>
      </c>
      <c r="S177" s="50">
        <v>16296.78</v>
      </c>
      <c r="T177" s="16">
        <f t="shared" ref="T177:U177" si="667">R177/R178-1</f>
        <v>-6.4389874376616918E-3</v>
      </c>
      <c r="U177" s="16">
        <f t="shared" si="667"/>
        <v>-7.6221155222127024E-3</v>
      </c>
      <c r="V177" s="16"/>
      <c r="W177" s="47">
        <v>44459</v>
      </c>
      <c r="X177" s="50">
        <v>1430.75</v>
      </c>
      <c r="Y177" s="50">
        <v>25187.34</v>
      </c>
      <c r="Z177" s="16">
        <f t="shared" ref="Z177:AA177" si="668">X177/X178-1</f>
        <v>-1.4872448101352909E-2</v>
      </c>
      <c r="AA177" s="16">
        <f t="shared" si="668"/>
        <v>-2.5159529156816296E-3</v>
      </c>
      <c r="AB177" s="16"/>
      <c r="AC177" s="47">
        <v>44824</v>
      </c>
      <c r="AD177" s="50">
        <v>1055.5999999999999</v>
      </c>
      <c r="AE177" s="50">
        <v>25869.27</v>
      </c>
      <c r="AF177" s="16">
        <f t="shared" ref="AF177:AG177" si="669">AD177/AD178-1</f>
        <v>1.548821548821544E-2</v>
      </c>
      <c r="AG177" s="16">
        <f t="shared" si="669"/>
        <v>1.1006881059324236E-2</v>
      </c>
      <c r="AH177" s="16"/>
      <c r="AI177" s="51">
        <v>45181</v>
      </c>
      <c r="AJ177" s="50">
        <v>1265.1500000000001</v>
      </c>
      <c r="AK177" s="50">
        <v>29533.91</v>
      </c>
      <c r="AL177" s="16">
        <f t="shared" ref="AL177:AM177" si="670">AJ177/AJ178-1</f>
        <v>-2.7981398281705649E-3</v>
      </c>
      <c r="AM177" s="16">
        <f t="shared" si="670"/>
        <v>-2.9243230961768507E-3</v>
      </c>
      <c r="AN177" s="16"/>
      <c r="AO177" s="47">
        <v>45552</v>
      </c>
      <c r="AP177" s="50">
        <v>1651.5</v>
      </c>
      <c r="AQ177" s="50">
        <v>37672.03</v>
      </c>
      <c r="AR177" s="16">
        <f t="shared" ref="AR177:AS177" si="671">AP177/AP178-1</f>
        <v>1.7286871076334087E-3</v>
      </c>
      <c r="AS177" s="16">
        <f t="shared" si="671"/>
        <v>-1.6123872899147518E-3</v>
      </c>
    </row>
    <row r="178" spans="1:45" ht="15">
      <c r="A178" s="47">
        <v>44091</v>
      </c>
      <c r="B178" s="48">
        <v>6.0400000000000002E-2</v>
      </c>
      <c r="C178" s="16"/>
      <c r="D178" s="47">
        <v>44455</v>
      </c>
      <c r="E178" s="48">
        <v>6.2399999999999997E-2</v>
      </c>
      <c r="F178" s="16"/>
      <c r="G178" s="47">
        <v>44823</v>
      </c>
      <c r="H178" s="48">
        <v>7.2400000000000006E-2</v>
      </c>
      <c r="I178" s="16"/>
      <c r="J178" s="47">
        <v>45189</v>
      </c>
      <c r="K178" s="48">
        <v>7.1800000000000003E-2</v>
      </c>
      <c r="L178" s="16"/>
      <c r="M178" s="47">
        <v>45548</v>
      </c>
      <c r="N178" s="48">
        <v>6.7900000000000002E-2</v>
      </c>
      <c r="O178" s="16"/>
      <c r="P178" s="16"/>
      <c r="Q178" s="47">
        <v>44090</v>
      </c>
      <c r="R178" s="49">
        <v>792.05</v>
      </c>
      <c r="S178" s="50">
        <v>16421.95</v>
      </c>
      <c r="T178" s="16">
        <f t="shared" ref="T178:U178" si="672">R178/R179-1</f>
        <v>1.1375845288503772E-3</v>
      </c>
      <c r="U178" s="16">
        <f t="shared" si="672"/>
        <v>7.1825298500323154E-3</v>
      </c>
      <c r="V178" s="16"/>
      <c r="W178" s="47">
        <v>44456</v>
      </c>
      <c r="X178" s="50">
        <v>1452.35</v>
      </c>
      <c r="Y178" s="50">
        <v>25250.87</v>
      </c>
      <c r="Z178" s="16">
        <f t="shared" ref="Z178:AA178" si="673">X178/X179-1</f>
        <v>3.2466411080025459E-3</v>
      </c>
      <c r="AA178" s="16">
        <f t="shared" si="673"/>
        <v>6.2825735397846749E-3</v>
      </c>
      <c r="AB178" s="16"/>
      <c r="AC178" s="47">
        <v>44823</v>
      </c>
      <c r="AD178" s="50">
        <v>1039.5</v>
      </c>
      <c r="AE178" s="50">
        <v>25587.63</v>
      </c>
      <c r="AF178" s="16">
        <f t="shared" ref="AF178:AG178" si="674">AD178/AD179-1</f>
        <v>5.0275548680267512E-3</v>
      </c>
      <c r="AG178" s="16">
        <f t="shared" si="674"/>
        <v>5.21313553013103E-3</v>
      </c>
      <c r="AH178" s="16"/>
      <c r="AI178" s="51">
        <v>45180</v>
      </c>
      <c r="AJ178" s="50">
        <v>1268.7</v>
      </c>
      <c r="AK178" s="50">
        <v>29620.53</v>
      </c>
      <c r="AL178" s="16">
        <f t="shared" ref="AL178:AM178" si="675">AJ178/AJ179-1</f>
        <v>4.9904942965779409E-3</v>
      </c>
      <c r="AM178" s="16">
        <f t="shared" si="675"/>
        <v>4.4395297191111016E-3</v>
      </c>
      <c r="AN178" s="16"/>
      <c r="AO178" s="47">
        <v>45551</v>
      </c>
      <c r="AP178" s="50">
        <v>1648.65</v>
      </c>
      <c r="AQ178" s="50">
        <v>37732.870000000003</v>
      </c>
      <c r="AR178" s="16">
        <f t="shared" ref="AR178:AS178" si="676">AP178/AP179-1</f>
        <v>-4.5586281850017452E-3</v>
      </c>
      <c r="AS178" s="16">
        <f t="shared" si="676"/>
        <v>1.3701778391583819E-3</v>
      </c>
    </row>
    <row r="179" spans="1:45" ht="15">
      <c r="A179" s="47">
        <v>44090</v>
      </c>
      <c r="B179" s="48">
        <v>0.06</v>
      </c>
      <c r="C179" s="16"/>
      <c r="D179" s="47">
        <v>44454</v>
      </c>
      <c r="E179" s="48">
        <v>6.2600000000000003E-2</v>
      </c>
      <c r="F179" s="16"/>
      <c r="G179" s="47">
        <v>44820</v>
      </c>
      <c r="H179" s="48">
        <v>7.2300000000000003E-2</v>
      </c>
      <c r="I179" s="16"/>
      <c r="J179" s="47">
        <v>45187</v>
      </c>
      <c r="K179" s="48">
        <v>7.17E-2</v>
      </c>
      <c r="L179" s="16"/>
      <c r="M179" s="51">
        <v>45547</v>
      </c>
      <c r="N179" s="48">
        <v>6.8199999999999997E-2</v>
      </c>
      <c r="O179" s="16"/>
      <c r="P179" s="16"/>
      <c r="Q179" s="47">
        <v>44089</v>
      </c>
      <c r="R179" s="49">
        <v>791.15</v>
      </c>
      <c r="S179" s="50">
        <v>16304.84</v>
      </c>
      <c r="T179" s="16">
        <f t="shared" ref="T179:U179" si="677">R179/R180-1</f>
        <v>6.3239107063806088E-4</v>
      </c>
      <c r="U179" s="16">
        <f t="shared" si="677"/>
        <v>7.1467662890061234E-3</v>
      </c>
      <c r="V179" s="16"/>
      <c r="W179" s="47">
        <v>44455</v>
      </c>
      <c r="X179" s="50">
        <v>1447.65</v>
      </c>
      <c r="Y179" s="50">
        <v>25093.22</v>
      </c>
      <c r="Z179" s="16">
        <f t="shared" ref="Z179:AA179" si="678">X179/X180-1</f>
        <v>-1.1606868535144921E-2</v>
      </c>
      <c r="AA179" s="16">
        <f t="shared" si="678"/>
        <v>8.0225729517453548E-3</v>
      </c>
      <c r="AB179" s="16"/>
      <c r="AC179" s="47">
        <v>44820</v>
      </c>
      <c r="AD179" s="50">
        <v>1034.3</v>
      </c>
      <c r="AE179" s="50">
        <v>25454.93</v>
      </c>
      <c r="AF179" s="16">
        <f t="shared" ref="AF179:AG179" si="679">AD179/AD180-1</f>
        <v>-4.4482424130444898E-2</v>
      </c>
      <c r="AG179" s="16">
        <f t="shared" si="679"/>
        <v>-1.9382419179245325E-2</v>
      </c>
      <c r="AH179" s="16"/>
      <c r="AI179" s="51">
        <v>45177</v>
      </c>
      <c r="AJ179" s="50">
        <v>1262.4000000000001</v>
      </c>
      <c r="AK179" s="50">
        <v>29489.61</v>
      </c>
      <c r="AL179" s="16">
        <f t="shared" ref="AL179:AM179" si="680">AJ179/AJ180-1</f>
        <v>-5.4360671236113323E-3</v>
      </c>
      <c r="AM179" s="16">
        <f t="shared" si="680"/>
        <v>1.6497379168669557E-3</v>
      </c>
      <c r="AN179" s="16"/>
      <c r="AO179" s="47">
        <v>45548</v>
      </c>
      <c r="AP179" s="50">
        <v>1656.2</v>
      </c>
      <c r="AQ179" s="50">
        <v>37681.24</v>
      </c>
      <c r="AR179" s="16">
        <f t="shared" ref="AR179:AS179" si="681">AP179/AP180-1</f>
        <v>8.7708612498478278E-3</v>
      </c>
      <c r="AS179" s="16">
        <f t="shared" si="681"/>
        <v>1.0743661133663096E-3</v>
      </c>
    </row>
    <row r="180" spans="1:45" ht="15">
      <c r="A180" s="47">
        <v>44089</v>
      </c>
      <c r="B180" s="48">
        <v>6.0299999999999999E-2</v>
      </c>
      <c r="C180" s="16"/>
      <c r="D180" s="47">
        <v>44453</v>
      </c>
      <c r="E180" s="48">
        <v>6.2600000000000003E-2</v>
      </c>
      <c r="F180" s="16"/>
      <c r="G180" s="47">
        <v>44819</v>
      </c>
      <c r="H180" s="48">
        <v>7.2099999999999997E-2</v>
      </c>
      <c r="I180" s="16"/>
      <c r="J180" s="47">
        <v>45184</v>
      </c>
      <c r="K180" s="48">
        <v>7.17E-2</v>
      </c>
      <c r="L180" s="16"/>
      <c r="M180" s="51">
        <v>45546</v>
      </c>
      <c r="N180" s="48">
        <v>6.83E-2</v>
      </c>
      <c r="O180" s="16"/>
      <c r="P180" s="16"/>
      <c r="Q180" s="54">
        <v>44088</v>
      </c>
      <c r="R180" s="49">
        <v>790.65</v>
      </c>
      <c r="S180" s="50">
        <v>16189.14</v>
      </c>
      <c r="T180" s="16">
        <f t="shared" ref="T180:U180" si="682">R180/R181-1</f>
        <v>3.3596967122033972E-2</v>
      </c>
      <c r="U180" s="16">
        <f t="shared" si="682"/>
        <v>-2.0822392023137626E-3</v>
      </c>
      <c r="V180" s="16"/>
      <c r="W180" s="47">
        <v>44454</v>
      </c>
      <c r="X180" s="50">
        <v>1464.65</v>
      </c>
      <c r="Y180" s="50">
        <v>24893.51</v>
      </c>
      <c r="Z180" s="16">
        <f t="shared" ref="Z180:AA180" si="683">X180/X181-1</f>
        <v>9.650846172405414E-3</v>
      </c>
      <c r="AA180" s="16">
        <f t="shared" si="683"/>
        <v>1.4236796668452012E-3</v>
      </c>
      <c r="AB180" s="16"/>
      <c r="AC180" s="47">
        <v>44819</v>
      </c>
      <c r="AD180" s="50">
        <v>1082.45</v>
      </c>
      <c r="AE180" s="50">
        <v>25958.06</v>
      </c>
      <c r="AF180" s="16">
        <f t="shared" ref="AF180:AG180" si="684">AD180/AD181-1</f>
        <v>-3.1321311915521899E-2</v>
      </c>
      <c r="AG180" s="16">
        <f t="shared" si="684"/>
        <v>-7.0179545795346909E-3</v>
      </c>
      <c r="AH180" s="16"/>
      <c r="AI180" s="51">
        <v>45176</v>
      </c>
      <c r="AJ180" s="50">
        <v>1269.3</v>
      </c>
      <c r="AK180" s="50">
        <v>29441.040000000001</v>
      </c>
      <c r="AL180" s="16">
        <f t="shared" ref="AL180:AM180" si="685">AJ180/AJ181-1</f>
        <v>1.6945078716500417E-2</v>
      </c>
      <c r="AM180" s="16">
        <f t="shared" si="685"/>
        <v>3.8416727557653019E-3</v>
      </c>
      <c r="AN180" s="16"/>
      <c r="AO180" s="51">
        <v>45547</v>
      </c>
      <c r="AP180" s="50">
        <v>1641.8</v>
      </c>
      <c r="AQ180" s="50">
        <v>37640.800000000003</v>
      </c>
      <c r="AR180" s="16">
        <f t="shared" ref="AR180:AS180" si="686">AP180/AP181-1</f>
        <v>2.4428290643621509E-2</v>
      </c>
      <c r="AS180" s="16">
        <f t="shared" si="686"/>
        <v>-1.2762378312978218E-3</v>
      </c>
    </row>
    <row r="181" spans="1:45" ht="15">
      <c r="A181" s="47">
        <v>44088</v>
      </c>
      <c r="B181" s="48">
        <v>6.0299999999999999E-2</v>
      </c>
      <c r="C181" s="16"/>
      <c r="D181" s="47">
        <v>44452</v>
      </c>
      <c r="E181" s="48">
        <v>6.2399999999999997E-2</v>
      </c>
      <c r="F181" s="16"/>
      <c r="G181" s="47">
        <v>44818</v>
      </c>
      <c r="H181" s="48">
        <v>7.1300000000000002E-2</v>
      </c>
      <c r="I181" s="16"/>
      <c r="J181" s="47">
        <v>45183</v>
      </c>
      <c r="K181" s="48">
        <v>7.1300000000000002E-2</v>
      </c>
      <c r="L181" s="16"/>
      <c r="M181" s="51">
        <v>45545</v>
      </c>
      <c r="N181" s="48">
        <v>6.8500000000000005E-2</v>
      </c>
      <c r="O181" s="16"/>
      <c r="P181" s="16"/>
      <c r="Q181" s="51">
        <v>44085</v>
      </c>
      <c r="R181" s="49">
        <v>764.95</v>
      </c>
      <c r="S181" s="50">
        <v>16222.92</v>
      </c>
      <c r="T181" s="16">
        <f t="shared" ref="T181:U181" si="687">R181/R182-1</f>
        <v>1.9797360351953008E-2</v>
      </c>
      <c r="U181" s="16">
        <f t="shared" si="687"/>
        <v>1.3258080763192126E-3</v>
      </c>
      <c r="V181" s="16"/>
      <c r="W181" s="47">
        <v>44453</v>
      </c>
      <c r="X181" s="50">
        <v>1450.65</v>
      </c>
      <c r="Y181" s="50">
        <v>24858.12</v>
      </c>
      <c r="Z181" s="16">
        <f t="shared" ref="Z181:AA181" si="688">X181/X182-1</f>
        <v>1.547023205348097E-2</v>
      </c>
      <c r="AA181" s="16">
        <f t="shared" si="688"/>
        <v>-8.0271435628709309E-4</v>
      </c>
      <c r="AB181" s="16"/>
      <c r="AC181" s="47">
        <v>44818</v>
      </c>
      <c r="AD181" s="50">
        <v>1117.45</v>
      </c>
      <c r="AE181" s="50">
        <v>26141.52</v>
      </c>
      <c r="AF181" s="16">
        <f t="shared" ref="AF181:AG181" si="689">AD181/AD182-1</f>
        <v>-2.6060051422843844E-2</v>
      </c>
      <c r="AG181" s="16">
        <f t="shared" si="689"/>
        <v>-3.6698947053889208E-3</v>
      </c>
      <c r="AH181" s="16"/>
      <c r="AI181" s="51">
        <v>45175</v>
      </c>
      <c r="AJ181" s="50">
        <v>1248.1500000000001</v>
      </c>
      <c r="AK181" s="50">
        <v>29328.37</v>
      </c>
      <c r="AL181" s="16">
        <f t="shared" ref="AL181:AM181" si="690">AJ181/AJ182-1</f>
        <v>-6.2895585366823381E-3</v>
      </c>
      <c r="AM181" s="16">
        <f t="shared" si="690"/>
        <v>-1.5784270275798207E-4</v>
      </c>
      <c r="AN181" s="16"/>
      <c r="AO181" s="51">
        <v>45546</v>
      </c>
      <c r="AP181" s="50">
        <v>1602.65</v>
      </c>
      <c r="AQ181" s="50">
        <v>37688.9</v>
      </c>
      <c r="AR181" s="16">
        <f t="shared" ref="AR181:AS181" si="691">AP181/AP182-1</f>
        <v>-3.4200789727326653E-3</v>
      </c>
      <c r="AS181" s="16">
        <f t="shared" si="691"/>
        <v>1.8879972490249086E-2</v>
      </c>
    </row>
    <row r="182" spans="1:45" ht="15">
      <c r="A182" s="51">
        <v>44085</v>
      </c>
      <c r="B182" s="48">
        <v>6.0400000000000002E-2</v>
      </c>
      <c r="C182" s="16"/>
      <c r="D182" s="51">
        <v>44448</v>
      </c>
      <c r="E182" s="48">
        <v>6.2300000000000001E-2</v>
      </c>
      <c r="F182" s="16"/>
      <c r="G182" s="47">
        <v>44817</v>
      </c>
      <c r="H182" s="48">
        <v>7.0800000000000002E-2</v>
      </c>
      <c r="I182" s="16"/>
      <c r="J182" s="47">
        <v>45182</v>
      </c>
      <c r="K182" s="48">
        <v>7.2099999999999997E-2</v>
      </c>
      <c r="L182" s="16"/>
      <c r="M182" s="51">
        <v>45544</v>
      </c>
      <c r="N182" s="48">
        <v>6.8599999999999994E-2</v>
      </c>
      <c r="O182" s="16"/>
      <c r="P182" s="16"/>
      <c r="Q182" s="51">
        <v>44084</v>
      </c>
      <c r="R182" s="49">
        <v>750.1</v>
      </c>
      <c r="S182" s="50">
        <v>16201.44</v>
      </c>
      <c r="T182" s="16">
        <f t="shared" ref="T182:U182" si="692">R182/R183-1</f>
        <v>-4.3140638481449223E-3</v>
      </c>
      <c r="U182" s="16">
        <f t="shared" si="692"/>
        <v>1.5192064159448737E-2</v>
      </c>
      <c r="V182" s="16"/>
      <c r="W182" s="47">
        <v>44452</v>
      </c>
      <c r="X182" s="50">
        <v>1428.55</v>
      </c>
      <c r="Y182" s="50">
        <v>24878.09</v>
      </c>
      <c r="Z182" s="16">
        <f t="shared" ref="Z182:AA182" si="693">X182/X183-1</f>
        <v>-3.4878448606605605E-3</v>
      </c>
      <c r="AA182" s="16">
        <f t="shared" si="693"/>
        <v>9.0885317133038157E-4</v>
      </c>
      <c r="AB182" s="16"/>
      <c r="AC182" s="47">
        <v>44817</v>
      </c>
      <c r="AD182" s="50">
        <v>1147.3499999999999</v>
      </c>
      <c r="AE182" s="50">
        <v>26237.81</v>
      </c>
      <c r="AF182" s="16">
        <f t="shared" ref="AF182:AG182" si="694">AD182/AD183-1</f>
        <v>-2.0006088809639833E-3</v>
      </c>
      <c r="AG182" s="16">
        <f t="shared" si="694"/>
        <v>7.4536288828503938E-3</v>
      </c>
      <c r="AH182" s="16"/>
      <c r="AI182" s="51">
        <v>45174</v>
      </c>
      <c r="AJ182" s="50">
        <v>1256.05</v>
      </c>
      <c r="AK182" s="50">
        <v>29333</v>
      </c>
      <c r="AL182" s="16">
        <f t="shared" ref="AL182:AM182" si="695">AJ182/AJ183-1</f>
        <v>-3.1835727645357359E-4</v>
      </c>
      <c r="AM182" s="16">
        <f t="shared" si="695"/>
        <v>8.9006687023760467E-3</v>
      </c>
      <c r="AN182" s="16"/>
      <c r="AO182" s="51">
        <v>45545</v>
      </c>
      <c r="AP182" s="50">
        <v>1608.15</v>
      </c>
      <c r="AQ182" s="50">
        <v>36990.519999999997</v>
      </c>
      <c r="AR182" s="16">
        <f t="shared" ref="AR182:AS182" si="696">AP182/AP183-1</f>
        <v>1.7848666097028509E-2</v>
      </c>
      <c r="AS182" s="16">
        <f t="shared" si="696"/>
        <v>-4.8974283994892565E-3</v>
      </c>
    </row>
    <row r="183" spans="1:45" ht="15">
      <c r="A183" s="51">
        <v>44084</v>
      </c>
      <c r="B183" s="48">
        <v>6.0499999999999998E-2</v>
      </c>
      <c r="C183" s="16"/>
      <c r="D183" s="51">
        <v>44447</v>
      </c>
      <c r="E183" s="48">
        <v>6.2300000000000001E-2</v>
      </c>
      <c r="F183" s="16"/>
      <c r="G183" s="51">
        <v>44816</v>
      </c>
      <c r="H183" s="48">
        <v>7.1400000000000005E-2</v>
      </c>
      <c r="I183" s="16"/>
      <c r="J183" s="51">
        <v>45181</v>
      </c>
      <c r="K183" s="48">
        <v>7.2300000000000003E-2</v>
      </c>
      <c r="L183" s="16"/>
      <c r="M183" s="51">
        <v>45541</v>
      </c>
      <c r="N183" s="48">
        <v>6.8500000000000005E-2</v>
      </c>
      <c r="O183" s="16"/>
      <c r="P183" s="16"/>
      <c r="Q183" s="51">
        <v>44083</v>
      </c>
      <c r="R183" s="49">
        <v>753.35</v>
      </c>
      <c r="S183" s="50">
        <v>15958.99</v>
      </c>
      <c r="T183" s="16">
        <f t="shared" ref="T183:U183" si="697">R183/R184-1</f>
        <v>1.5954264441933041E-3</v>
      </c>
      <c r="U183" s="16">
        <f t="shared" si="697"/>
        <v>-3.4768121978161481E-3</v>
      </c>
      <c r="V183" s="16"/>
      <c r="W183" s="51">
        <v>44448</v>
      </c>
      <c r="X183" s="50">
        <v>1433.55</v>
      </c>
      <c r="Y183" s="50">
        <v>24855.5</v>
      </c>
      <c r="Z183" s="16">
        <f t="shared" ref="Z183:AA183" si="698">X183/X184-1</f>
        <v>4.2030051486812159E-3</v>
      </c>
      <c r="AA183" s="16">
        <f t="shared" si="698"/>
        <v>-7.1206532334389117E-5</v>
      </c>
      <c r="AB183" s="16"/>
      <c r="AC183" s="51">
        <v>44816</v>
      </c>
      <c r="AD183" s="50">
        <v>1149.6500000000001</v>
      </c>
      <c r="AE183" s="50">
        <v>26043.69</v>
      </c>
      <c r="AF183" s="16">
        <f t="shared" ref="AF183:AG183" si="699">AD183/AD184-1</f>
        <v>2.0505081887177701E-2</v>
      </c>
      <c r="AG183" s="16">
        <f t="shared" si="699"/>
        <v>5.7762148317841433E-3</v>
      </c>
      <c r="AH183" s="16"/>
      <c r="AI183" s="51">
        <v>45173</v>
      </c>
      <c r="AJ183" s="50">
        <v>1256.45</v>
      </c>
      <c r="AK183" s="50">
        <v>29074.22</v>
      </c>
      <c r="AL183" s="16">
        <f t="shared" ref="AL183:AM183" si="700">AJ183/AJ184-1</f>
        <v>2.3876461720246045E-2</v>
      </c>
      <c r="AM183" s="16">
        <f t="shared" si="700"/>
        <v>4.7086940475418171E-3</v>
      </c>
      <c r="AN183" s="16"/>
      <c r="AO183" s="51">
        <v>45544</v>
      </c>
      <c r="AP183" s="50">
        <v>1579.95</v>
      </c>
      <c r="AQ183" s="50">
        <v>37172.57</v>
      </c>
      <c r="AR183" s="16">
        <f t="shared" ref="AR183:AS183" si="701">AP183/AP184-1</f>
        <v>-2.6764814586670016E-2</v>
      </c>
      <c r="AS183" s="16">
        <f t="shared" si="701"/>
        <v>4.1985944352820326E-3</v>
      </c>
    </row>
    <row r="184" spans="1:45" ht="15">
      <c r="A184" s="51">
        <v>44083</v>
      </c>
      <c r="B184" s="48">
        <v>5.9900000000000002E-2</v>
      </c>
      <c r="C184" s="16"/>
      <c r="D184" s="51">
        <v>44446</v>
      </c>
      <c r="E184" s="48">
        <v>6.2399999999999997E-2</v>
      </c>
      <c r="F184" s="16"/>
      <c r="G184" s="51">
        <v>44813</v>
      </c>
      <c r="H184" s="48">
        <v>7.1199999999999999E-2</v>
      </c>
      <c r="I184" s="16"/>
      <c r="J184" s="51">
        <v>45180</v>
      </c>
      <c r="K184" s="48">
        <v>7.2400000000000006E-2</v>
      </c>
      <c r="L184" s="16"/>
      <c r="M184" s="51">
        <v>45540</v>
      </c>
      <c r="N184" s="48">
        <v>6.8500000000000005E-2</v>
      </c>
      <c r="O184" s="16"/>
      <c r="P184" s="16"/>
      <c r="Q184" s="51">
        <v>44082</v>
      </c>
      <c r="R184" s="49">
        <v>752.15</v>
      </c>
      <c r="S184" s="50">
        <v>16014.67</v>
      </c>
      <c r="T184" s="16">
        <f t="shared" ref="T184:U184" si="702">R184/R185-1</f>
        <v>6.96164401901056E-3</v>
      </c>
      <c r="U184" s="16">
        <f t="shared" si="702"/>
        <v>-3.3227408909350942E-3</v>
      </c>
      <c r="V184" s="16"/>
      <c r="W184" s="51">
        <v>44447</v>
      </c>
      <c r="X184" s="50">
        <v>1427.55</v>
      </c>
      <c r="Y184" s="50">
        <v>24857.27</v>
      </c>
      <c r="Z184" s="16">
        <f t="shared" ref="Z184:AA184" si="703">X184/X185-1</f>
        <v>-5.5727769844310382E-3</v>
      </c>
      <c r="AA184" s="16">
        <f t="shared" si="703"/>
        <v>-9.0515233448518195E-4</v>
      </c>
      <c r="AB184" s="16"/>
      <c r="AC184" s="51">
        <v>44813</v>
      </c>
      <c r="AD184" s="50">
        <v>1126.55</v>
      </c>
      <c r="AE184" s="50">
        <v>25894.12</v>
      </c>
      <c r="AF184" s="16">
        <f t="shared" ref="AF184:AG184" si="704">AD184/AD185-1</f>
        <v>3.3200348511945643E-2</v>
      </c>
      <c r="AG184" s="16">
        <f t="shared" si="704"/>
        <v>1.944755930422204E-3</v>
      </c>
      <c r="AH184" s="16"/>
      <c r="AI184" s="51">
        <v>45170</v>
      </c>
      <c r="AJ184" s="50">
        <v>1227.1500000000001</v>
      </c>
      <c r="AK184" s="50">
        <v>28937.96</v>
      </c>
      <c r="AL184" s="16">
        <f t="shared" ref="AL184:AM184" si="705">AJ184/AJ185-1</f>
        <v>2.1135843561473022E-2</v>
      </c>
      <c r="AM184" s="16">
        <f t="shared" si="705"/>
        <v>5.9156459066358469E-3</v>
      </c>
      <c r="AN184" s="16"/>
      <c r="AO184" s="51">
        <v>45541</v>
      </c>
      <c r="AP184" s="50">
        <v>1623.4</v>
      </c>
      <c r="AQ184" s="50">
        <v>37017.15</v>
      </c>
      <c r="AR184" s="16">
        <f t="shared" ref="AR184:AS184" si="706">AP184/AP185-1</f>
        <v>-1.0905989154938123E-2</v>
      </c>
      <c r="AS184" s="16">
        <f t="shared" si="706"/>
        <v>3.3904305179948135E-3</v>
      </c>
    </row>
    <row r="185" spans="1:45" ht="15">
      <c r="A185" s="51">
        <v>44082</v>
      </c>
      <c r="B185" s="48">
        <v>6.0600000000000001E-2</v>
      </c>
      <c r="C185" s="16"/>
      <c r="D185" s="51">
        <v>44445</v>
      </c>
      <c r="E185" s="48">
        <v>6.2300000000000001E-2</v>
      </c>
      <c r="F185" s="16"/>
      <c r="G185" s="51">
        <v>44812</v>
      </c>
      <c r="H185" s="48">
        <v>7.0800000000000002E-2</v>
      </c>
      <c r="I185" s="16"/>
      <c r="J185" s="51">
        <v>45177</v>
      </c>
      <c r="K185" s="48">
        <v>7.1800000000000003E-2</v>
      </c>
      <c r="L185" s="16"/>
      <c r="M185" s="51">
        <v>45539</v>
      </c>
      <c r="N185" s="48">
        <v>6.8599999999999994E-2</v>
      </c>
      <c r="O185" s="16"/>
      <c r="P185" s="16"/>
      <c r="Q185" s="51">
        <v>44081</v>
      </c>
      <c r="R185" s="49">
        <v>746.95</v>
      </c>
      <c r="S185" s="50">
        <v>16068.06</v>
      </c>
      <c r="T185" s="16">
        <f t="shared" ref="T185:U185" si="707">R185/R186-1</f>
        <v>-2.1374657671496822E-3</v>
      </c>
      <c r="U185" s="16">
        <f t="shared" si="707"/>
        <v>1.8699257454295459E-3</v>
      </c>
      <c r="V185" s="16"/>
      <c r="W185" s="51">
        <v>44446</v>
      </c>
      <c r="X185" s="50">
        <v>1435.55</v>
      </c>
      <c r="Y185" s="50">
        <v>24879.79</v>
      </c>
      <c r="Z185" s="16">
        <f t="shared" ref="Z185:AA185" si="708">X185/X186-1</f>
        <v>-1.6948572211189505E-2</v>
      </c>
      <c r="AA185" s="16">
        <f t="shared" si="708"/>
        <v>3.1295648727511782E-3</v>
      </c>
      <c r="AB185" s="16"/>
      <c r="AC185" s="51">
        <v>44812</v>
      </c>
      <c r="AD185" s="50">
        <v>1090.3499999999999</v>
      </c>
      <c r="AE185" s="50">
        <v>25843.86</v>
      </c>
      <c r="AF185" s="16">
        <f t="shared" ref="AF185:AG185" si="709">AD185/AD186-1</f>
        <v>3.2284023668639028E-2</v>
      </c>
      <c r="AG185" s="16">
        <f t="shared" si="709"/>
        <v>9.8914724198957416E-3</v>
      </c>
      <c r="AH185" s="16"/>
      <c r="AI185" s="47">
        <v>45169</v>
      </c>
      <c r="AJ185" s="50">
        <v>1201.75</v>
      </c>
      <c r="AK185" s="50">
        <v>28767.78</v>
      </c>
      <c r="AL185" s="16">
        <f t="shared" ref="AL185:AM185" si="710">AJ185/AJ186-1</f>
        <v>4.0521346812598669E-3</v>
      </c>
      <c r="AM185" s="16">
        <f t="shared" si="710"/>
        <v>1.8457393718496196E-3</v>
      </c>
      <c r="AN185" s="16"/>
      <c r="AO185" s="51">
        <v>45540</v>
      </c>
      <c r="AP185" s="50">
        <v>1641.3</v>
      </c>
      <c r="AQ185" s="50">
        <v>36892.07</v>
      </c>
      <c r="AR185" s="16">
        <f t="shared" ref="AR185:AS185" si="711">AP185/AP186-1</f>
        <v>-2.1582515122958723E-3</v>
      </c>
      <c r="AS185" s="16">
        <f t="shared" si="711"/>
        <v>-1.1651622592660171E-2</v>
      </c>
    </row>
    <row r="186" spans="1:45" ht="15">
      <c r="A186" s="51">
        <v>44081</v>
      </c>
      <c r="B186" s="48">
        <v>5.9900000000000002E-2</v>
      </c>
      <c r="C186" s="16"/>
      <c r="D186" s="51">
        <v>44442</v>
      </c>
      <c r="E186" s="48">
        <v>6.2100000000000002E-2</v>
      </c>
      <c r="F186" s="16"/>
      <c r="G186" s="51">
        <v>44811</v>
      </c>
      <c r="H186" s="48">
        <v>7.1300000000000002E-2</v>
      </c>
      <c r="I186" s="16"/>
      <c r="J186" s="51">
        <v>45176</v>
      </c>
      <c r="K186" s="48">
        <v>7.17E-2</v>
      </c>
      <c r="L186" s="16"/>
      <c r="M186" s="51">
        <v>45538</v>
      </c>
      <c r="N186" s="48">
        <v>6.88E-2</v>
      </c>
      <c r="O186" s="16"/>
      <c r="P186" s="16"/>
      <c r="Q186" s="51">
        <v>44078</v>
      </c>
      <c r="R186" s="49">
        <v>748.55</v>
      </c>
      <c r="S186" s="50">
        <v>16038.07</v>
      </c>
      <c r="T186" s="16">
        <f t="shared" ref="T186:U186" si="712">R186/R187-1</f>
        <v>-1.4547130068457204E-2</v>
      </c>
      <c r="U186" s="16">
        <f t="shared" si="712"/>
        <v>-1.6792555659977726E-2</v>
      </c>
      <c r="V186" s="16"/>
      <c r="W186" s="51">
        <v>44445</v>
      </c>
      <c r="X186" s="50">
        <v>1460.3</v>
      </c>
      <c r="Y186" s="50">
        <v>24802.17</v>
      </c>
      <c r="Z186" s="16">
        <f t="shared" ref="Z186:AA186" si="713">X186/X187-1</f>
        <v>1.293656574064439E-2</v>
      </c>
      <c r="AA186" s="16">
        <f t="shared" si="713"/>
        <v>5.19005548731033E-3</v>
      </c>
      <c r="AB186" s="16"/>
      <c r="AC186" s="51">
        <v>44811</v>
      </c>
      <c r="AD186" s="50">
        <v>1056.25</v>
      </c>
      <c r="AE186" s="50">
        <v>25590.73</v>
      </c>
      <c r="AF186" s="16">
        <f t="shared" ref="AF186:AG186" si="714">AD186/AD187-1</f>
        <v>-7.097198721564113E-3</v>
      </c>
      <c r="AG186" s="16">
        <f t="shared" si="714"/>
        <v>-1.7662654991942306E-3</v>
      </c>
      <c r="AH186" s="16"/>
      <c r="AI186" s="47">
        <v>45168</v>
      </c>
      <c r="AJ186" s="50">
        <v>1196.9000000000001</v>
      </c>
      <c r="AK186" s="50">
        <v>28714.78</v>
      </c>
      <c r="AL186" s="16">
        <f t="shared" ref="AL186:AM186" si="715">AJ186/AJ187-1</f>
        <v>-9.5989315971778399E-4</v>
      </c>
      <c r="AM186" s="16">
        <f t="shared" si="715"/>
        <v>2.3604434087007853E-3</v>
      </c>
      <c r="AN186" s="16"/>
      <c r="AO186" s="51">
        <v>45539</v>
      </c>
      <c r="AP186" s="50">
        <v>1644.85</v>
      </c>
      <c r="AQ186" s="50">
        <v>37326.99</v>
      </c>
      <c r="AR186" s="16">
        <f t="shared" ref="AR186:AS186" si="716">AP186/AP187-1</f>
        <v>1.5201264745234866E-4</v>
      </c>
      <c r="AS186" s="16">
        <f t="shared" si="716"/>
        <v>-2.1269002353867528E-3</v>
      </c>
    </row>
    <row r="187" spans="1:45" ht="15">
      <c r="A187" s="51">
        <v>44078</v>
      </c>
      <c r="B187" s="48">
        <v>5.9400000000000001E-2</v>
      </c>
      <c r="C187" s="16"/>
      <c r="D187" s="51">
        <v>44441</v>
      </c>
      <c r="E187" s="48">
        <v>6.2300000000000001E-2</v>
      </c>
      <c r="F187" s="16"/>
      <c r="G187" s="51">
        <v>44810</v>
      </c>
      <c r="H187" s="48">
        <v>7.1400000000000005E-2</v>
      </c>
      <c r="I187" s="16"/>
      <c r="J187" s="51">
        <v>45175</v>
      </c>
      <c r="K187" s="48">
        <v>7.22E-2</v>
      </c>
      <c r="L187" s="16"/>
      <c r="M187" s="51">
        <v>45537</v>
      </c>
      <c r="N187" s="48">
        <v>6.88E-2</v>
      </c>
      <c r="O187" s="16"/>
      <c r="P187" s="16"/>
      <c r="Q187" s="52">
        <v>44077</v>
      </c>
      <c r="R187" s="49">
        <v>759.6</v>
      </c>
      <c r="S187" s="50">
        <v>16311.99</v>
      </c>
      <c r="T187" s="16">
        <f t="shared" ref="T187:U187" si="717">R187/R188-1</f>
        <v>3.3469387755101998E-2</v>
      </c>
      <c r="U187" s="16">
        <f t="shared" si="717"/>
        <v>-6.2369158022490545E-4</v>
      </c>
      <c r="V187" s="16"/>
      <c r="W187" s="51">
        <v>44442</v>
      </c>
      <c r="X187" s="50">
        <v>1441.65</v>
      </c>
      <c r="Y187" s="50">
        <v>24674.11</v>
      </c>
      <c r="Z187" s="16">
        <f t="shared" ref="Z187:AA187" si="718">X187/X188-1</f>
        <v>2.0156385751521899E-3</v>
      </c>
      <c r="AA187" s="16">
        <f t="shared" si="718"/>
        <v>9.3468686824060843E-3</v>
      </c>
      <c r="AB187" s="16"/>
      <c r="AC187" s="51">
        <v>44810</v>
      </c>
      <c r="AD187" s="50">
        <v>1063.8</v>
      </c>
      <c r="AE187" s="50">
        <v>25636.01</v>
      </c>
      <c r="AF187" s="16">
        <f t="shared" ref="AF187:AG187" si="719">AD187/AD188-1</f>
        <v>-1.3611828209341148E-3</v>
      </c>
      <c r="AG187" s="16">
        <f t="shared" si="719"/>
        <v>-5.777590822598766E-4</v>
      </c>
      <c r="AH187" s="16"/>
      <c r="AI187" s="47">
        <v>45167</v>
      </c>
      <c r="AJ187" s="50">
        <v>1198.05</v>
      </c>
      <c r="AK187" s="50">
        <v>28647.16</v>
      </c>
      <c r="AL187" s="16">
        <f t="shared" ref="AL187:AM187" si="720">AJ187/AJ188-1</f>
        <v>1.1396732936558296E-2</v>
      </c>
      <c r="AM187" s="16">
        <f t="shared" si="720"/>
        <v>4.8130581825145402E-3</v>
      </c>
      <c r="AN187" s="16"/>
      <c r="AO187" s="51">
        <v>45538</v>
      </c>
      <c r="AP187" s="50">
        <v>1644.6</v>
      </c>
      <c r="AQ187" s="50">
        <v>37406.550000000003</v>
      </c>
      <c r="AR187" s="16">
        <f t="shared" ref="AR187:AS187" si="721">AP187/AP188-1</f>
        <v>-1.1842944338161798E-3</v>
      </c>
      <c r="AS187" s="16">
        <f t="shared" si="721"/>
        <v>-3.2088921647550617E-3</v>
      </c>
    </row>
    <row r="188" spans="1:45" ht="15">
      <c r="A188" s="51">
        <v>44077</v>
      </c>
      <c r="B188" s="48">
        <v>5.8999999999999997E-2</v>
      </c>
      <c r="C188" s="16"/>
      <c r="D188" s="51">
        <v>44440</v>
      </c>
      <c r="E188" s="48">
        <v>6.25E-2</v>
      </c>
      <c r="F188" s="16"/>
      <c r="G188" s="51">
        <v>44809</v>
      </c>
      <c r="H188" s="48">
        <v>7.1800000000000003E-2</v>
      </c>
      <c r="I188" s="16"/>
      <c r="J188" s="51">
        <v>45174</v>
      </c>
      <c r="K188" s="48">
        <v>7.1999999999999995E-2</v>
      </c>
      <c r="L188" s="16"/>
      <c r="M188" s="47">
        <v>45534</v>
      </c>
      <c r="N188" s="48">
        <v>6.8599999999999994E-2</v>
      </c>
      <c r="O188" s="16"/>
      <c r="P188" s="16"/>
      <c r="Q188" s="52">
        <v>44076</v>
      </c>
      <c r="R188" s="49">
        <v>735</v>
      </c>
      <c r="S188" s="50">
        <v>16322.17</v>
      </c>
      <c r="T188" s="16">
        <f t="shared" ref="T188:U188" si="722">R188/R189-1</f>
        <v>9.3380939302389887E-3</v>
      </c>
      <c r="U188" s="16">
        <f t="shared" si="722"/>
        <v>5.8562383759552805E-3</v>
      </c>
      <c r="V188" s="16"/>
      <c r="W188" s="51">
        <v>44441</v>
      </c>
      <c r="X188" s="50">
        <v>1438.75</v>
      </c>
      <c r="Y188" s="50">
        <v>24445.62</v>
      </c>
      <c r="Z188" s="16">
        <f t="shared" ref="Z188:AA188" si="723">X188/X189-1</f>
        <v>1.8103958500155226E-3</v>
      </c>
      <c r="AA188" s="16">
        <f t="shared" si="723"/>
        <v>-3.2655527607560186E-3</v>
      </c>
      <c r="AB188" s="16"/>
      <c r="AC188" s="51">
        <v>44809</v>
      </c>
      <c r="AD188" s="50">
        <v>1065.25</v>
      </c>
      <c r="AE188" s="50">
        <v>25650.83</v>
      </c>
      <c r="AF188" s="16">
        <f t="shared" ref="AF188:AG188" si="724">AD188/AD189-1</f>
        <v>8.3297837095934746E-3</v>
      </c>
      <c r="AG188" s="16">
        <f t="shared" si="724"/>
        <v>7.2021458012416772E-3</v>
      </c>
      <c r="AH188" s="16"/>
      <c r="AI188" s="47">
        <v>45166</v>
      </c>
      <c r="AJ188" s="50">
        <v>1184.55</v>
      </c>
      <c r="AK188" s="50">
        <v>28509.94</v>
      </c>
      <c r="AL188" s="16">
        <f t="shared" ref="AL188:AM188" si="725">AJ188/AJ189-1</f>
        <v>-4.1614123581337203E-3</v>
      </c>
      <c r="AM188" s="16">
        <f t="shared" si="725"/>
        <v>9.4250973844114405E-3</v>
      </c>
      <c r="AN188" s="16"/>
      <c r="AO188" s="51">
        <v>45537</v>
      </c>
      <c r="AP188" s="50">
        <v>1646.55</v>
      </c>
      <c r="AQ188" s="50">
        <v>37526.97</v>
      </c>
      <c r="AR188" s="16">
        <f t="shared" ref="AR188:AS188" si="726">AP188/AP189-1</f>
        <v>6.6332457052025173E-3</v>
      </c>
      <c r="AS188" s="16">
        <f t="shared" si="726"/>
        <v>4.5036306191459374E-5</v>
      </c>
    </row>
    <row r="189" spans="1:45" ht="15">
      <c r="A189" s="51">
        <v>44076</v>
      </c>
      <c r="B189" s="48">
        <v>5.9299999999999999E-2</v>
      </c>
      <c r="C189" s="16"/>
      <c r="D189" s="47">
        <v>44439</v>
      </c>
      <c r="E189" s="48">
        <v>6.2600000000000003E-2</v>
      </c>
      <c r="F189" s="16"/>
      <c r="G189" s="51">
        <v>44806</v>
      </c>
      <c r="H189" s="48">
        <v>7.22E-2</v>
      </c>
      <c r="I189" s="16"/>
      <c r="J189" s="51">
        <v>45173</v>
      </c>
      <c r="K189" s="48">
        <v>7.1999999999999995E-2</v>
      </c>
      <c r="L189" s="16"/>
      <c r="M189" s="47">
        <v>45533</v>
      </c>
      <c r="N189" s="48">
        <v>6.8699999999999997E-2</v>
      </c>
      <c r="O189" s="16"/>
      <c r="P189" s="16"/>
      <c r="Q189" s="52">
        <v>44075</v>
      </c>
      <c r="R189" s="49">
        <v>728.2</v>
      </c>
      <c r="S189" s="50">
        <v>16227.14</v>
      </c>
      <c r="T189" s="16">
        <f t="shared" ref="T189:U189" si="727">R189/R190-1</f>
        <v>-1.7539125742039974E-2</v>
      </c>
      <c r="U189" s="16">
        <f t="shared" si="727"/>
        <v>7.2668833841194047E-3</v>
      </c>
      <c r="V189" s="16"/>
      <c r="W189" s="51">
        <v>44440</v>
      </c>
      <c r="X189" s="50">
        <v>1436.15</v>
      </c>
      <c r="Y189" s="50">
        <v>24525.71</v>
      </c>
      <c r="Z189" s="16">
        <f t="shared" ref="Z189:AA189" si="728">X189/X190-1</f>
        <v>-7.7040005527533317E-3</v>
      </c>
      <c r="AA189" s="16">
        <f t="shared" si="728"/>
        <v>1.1878553334048414E-2</v>
      </c>
      <c r="AB189" s="16"/>
      <c r="AC189" s="51">
        <v>44806</v>
      </c>
      <c r="AD189" s="50">
        <v>1056.45</v>
      </c>
      <c r="AE189" s="50">
        <v>25467.41</v>
      </c>
      <c r="AF189" s="16">
        <f t="shared" ref="AF189:AG189" si="729">AD189/AD190-1</f>
        <v>2.8001898433791528E-3</v>
      </c>
      <c r="AG189" s="16">
        <f t="shared" si="729"/>
        <v>-1.8961818827090138E-4</v>
      </c>
      <c r="AH189" s="16"/>
      <c r="AI189" s="47">
        <v>45163</v>
      </c>
      <c r="AJ189" s="50">
        <v>1189.5</v>
      </c>
      <c r="AK189" s="50">
        <v>28243.74</v>
      </c>
      <c r="AL189" s="16">
        <f t="shared" ref="AL189:AM189" si="730">AJ189/AJ190-1</f>
        <v>-7.5507905385674423E-3</v>
      </c>
      <c r="AM189" s="16">
        <f t="shared" si="730"/>
        <v>-4.8408925226021138E-3</v>
      </c>
      <c r="AN189" s="16"/>
      <c r="AO189" s="47">
        <v>45534</v>
      </c>
      <c r="AP189" s="50">
        <v>1635.7</v>
      </c>
      <c r="AQ189" s="50">
        <v>37525.279999999999</v>
      </c>
      <c r="AR189" s="16">
        <f t="shared" ref="AR189:AS189" si="731">AP189/AP190-1</f>
        <v>-6.7403449113431213E-3</v>
      </c>
      <c r="AS189" s="16">
        <f t="shared" si="731"/>
        <v>1.6963978972672766E-3</v>
      </c>
    </row>
    <row r="190" spans="1:45" ht="15">
      <c r="A190" s="51">
        <v>44075</v>
      </c>
      <c r="B190" s="48">
        <v>5.9499999999999997E-2</v>
      </c>
      <c r="C190" s="16"/>
      <c r="D190" s="47">
        <v>44438</v>
      </c>
      <c r="E190" s="48">
        <v>6.2700000000000006E-2</v>
      </c>
      <c r="F190" s="16"/>
      <c r="G190" s="51">
        <v>44805</v>
      </c>
      <c r="H190" s="48">
        <v>7.1900000000000006E-2</v>
      </c>
      <c r="I190" s="16"/>
      <c r="J190" s="51">
        <v>45170</v>
      </c>
      <c r="K190" s="48">
        <v>7.17E-2</v>
      </c>
      <c r="L190" s="16"/>
      <c r="M190" s="47">
        <v>45532</v>
      </c>
      <c r="N190" s="48">
        <v>6.8599999999999994E-2</v>
      </c>
      <c r="O190" s="16"/>
      <c r="P190" s="16"/>
      <c r="Q190" s="47">
        <v>44074</v>
      </c>
      <c r="R190" s="49">
        <v>741.2</v>
      </c>
      <c r="S190" s="50">
        <v>16110.07</v>
      </c>
      <c r="T190" s="16">
        <f t="shared" ref="T190:U190" si="732">R190/R191-1</f>
        <v>-1.4689265536723117E-2</v>
      </c>
      <c r="U190" s="16">
        <f t="shared" si="732"/>
        <v>-2.2329152610054193E-2</v>
      </c>
      <c r="V190" s="16"/>
      <c r="W190" s="47">
        <v>44439</v>
      </c>
      <c r="X190" s="50">
        <v>1447.3</v>
      </c>
      <c r="Y190" s="50">
        <v>24237.8</v>
      </c>
      <c r="Z190" s="16">
        <f t="shared" ref="Z190:AA190" si="733">X190/X191-1</f>
        <v>1.9692112586747523E-2</v>
      </c>
      <c r="AA190" s="16">
        <f t="shared" si="733"/>
        <v>1.3519842371650936E-2</v>
      </c>
      <c r="AB190" s="16"/>
      <c r="AC190" s="51">
        <v>44805</v>
      </c>
      <c r="AD190" s="50">
        <v>1053.5</v>
      </c>
      <c r="AE190" s="50">
        <v>25472.240000000002</v>
      </c>
      <c r="AF190" s="16">
        <f t="shared" ref="AF190:AG190" si="734">AD190/AD191-1</f>
        <v>-2.1547320516392743E-2</v>
      </c>
      <c r="AG190" s="16">
        <f t="shared" si="734"/>
        <v>-1.2190444723400695E-2</v>
      </c>
      <c r="AH190" s="16"/>
      <c r="AI190" s="47">
        <v>45162</v>
      </c>
      <c r="AJ190" s="50">
        <v>1198.55</v>
      </c>
      <c r="AK190" s="50">
        <v>28381.13</v>
      </c>
      <c r="AL190" s="16">
        <f t="shared" ref="AL190:AM190" si="735">AJ190/AJ191-1</f>
        <v>-1.9568656840703857E-3</v>
      </c>
      <c r="AM190" s="16">
        <f t="shared" si="735"/>
        <v>2.502288183949819E-4</v>
      </c>
      <c r="AN190" s="16"/>
      <c r="AO190" s="47">
        <v>45533</v>
      </c>
      <c r="AP190" s="50">
        <v>1646.8</v>
      </c>
      <c r="AQ190" s="50">
        <v>37461.730000000003</v>
      </c>
      <c r="AR190" s="16">
        <f t="shared" ref="AR190:AS190" si="736">AP190/AP191-1</f>
        <v>1.1951946415952319E-2</v>
      </c>
      <c r="AS190" s="16">
        <f t="shared" si="736"/>
        <v>3.3382355186224455E-3</v>
      </c>
    </row>
    <row r="191" spans="1:45" ht="15">
      <c r="A191" s="47">
        <v>44074</v>
      </c>
      <c r="B191" s="48">
        <v>6.1199999999999997E-2</v>
      </c>
      <c r="C191" s="16"/>
      <c r="D191" s="47">
        <v>44435</v>
      </c>
      <c r="E191" s="48">
        <v>6.2899999999999998E-2</v>
      </c>
      <c r="F191" s="16"/>
      <c r="G191" s="47">
        <v>44803</v>
      </c>
      <c r="H191" s="48">
        <v>7.1800000000000003E-2</v>
      </c>
      <c r="I191" s="16"/>
      <c r="J191" s="47">
        <v>45169</v>
      </c>
      <c r="K191" s="48">
        <v>7.17E-2</v>
      </c>
      <c r="L191" s="16"/>
      <c r="M191" s="47">
        <v>45531</v>
      </c>
      <c r="N191" s="48">
        <v>6.8599999999999994E-2</v>
      </c>
      <c r="O191" s="16"/>
      <c r="P191" s="16"/>
      <c r="Q191" s="47">
        <v>44071</v>
      </c>
      <c r="R191" s="49">
        <v>752.25</v>
      </c>
      <c r="S191" s="50">
        <v>16478.009999999998</v>
      </c>
      <c r="T191" s="16">
        <f t="shared" ref="T191:U191" si="737">R191/R192-1</f>
        <v>2.3121387283236983E-2</v>
      </c>
      <c r="U191" s="16">
        <f t="shared" si="737"/>
        <v>7.6395394629023006E-3</v>
      </c>
      <c r="V191" s="16"/>
      <c r="W191" s="47">
        <v>44438</v>
      </c>
      <c r="X191" s="50">
        <v>1419.35</v>
      </c>
      <c r="Y191" s="50">
        <v>23914.48</v>
      </c>
      <c r="Z191" s="16">
        <f t="shared" ref="Z191:AA191" si="738">X191/X192-1</f>
        <v>-1.8803359717949664E-2</v>
      </c>
      <c r="AA191" s="16">
        <f t="shared" si="738"/>
        <v>4.1063657906978968E-3</v>
      </c>
      <c r="AB191" s="16"/>
      <c r="AC191" s="47">
        <v>44803</v>
      </c>
      <c r="AD191" s="50">
        <v>1076.7</v>
      </c>
      <c r="AE191" s="50">
        <v>25786.59</v>
      </c>
      <c r="AF191" s="16">
        <f t="shared" ref="AF191:AG191" si="739">AD191/AD192-1</f>
        <v>3.9586752920729884E-2</v>
      </c>
      <c r="AG191" s="16">
        <f t="shared" si="739"/>
        <v>2.5784855042484844E-2</v>
      </c>
      <c r="AH191" s="16"/>
      <c r="AI191" s="47">
        <v>45161</v>
      </c>
      <c r="AJ191" s="50">
        <v>1200.9000000000001</v>
      </c>
      <c r="AK191" s="50">
        <v>28374.03</v>
      </c>
      <c r="AL191" s="16">
        <f t="shared" ref="AL191:AM191" si="740">AJ191/AJ192-1</f>
        <v>-9.0357717539297777E-3</v>
      </c>
      <c r="AM191" s="16">
        <f t="shared" si="740"/>
        <v>1.8936879422606356E-3</v>
      </c>
      <c r="AN191" s="16"/>
      <c r="AO191" s="47">
        <v>45532</v>
      </c>
      <c r="AP191" s="50">
        <v>1627.35</v>
      </c>
      <c r="AQ191" s="50">
        <v>37337.089999999997</v>
      </c>
      <c r="AR191" s="16">
        <f t="shared" ref="AR191:AS191" si="741">AP191/AP192-1</f>
        <v>1.8777319460689945E-3</v>
      </c>
      <c r="AS191" s="16">
        <f t="shared" si="741"/>
        <v>3.9748024094046208E-3</v>
      </c>
    </row>
    <row r="192" spans="1:45" ht="15">
      <c r="A192" s="47">
        <v>44071</v>
      </c>
      <c r="B192" s="48">
        <v>6.1400000000000003E-2</v>
      </c>
      <c r="C192" s="16"/>
      <c r="D192" s="47">
        <v>44434</v>
      </c>
      <c r="E192" s="48">
        <v>6.2899999999999998E-2</v>
      </c>
      <c r="F192" s="16"/>
      <c r="G192" s="47">
        <v>44802</v>
      </c>
      <c r="H192" s="48">
        <v>7.2400000000000006E-2</v>
      </c>
      <c r="I192" s="16"/>
      <c r="J192" s="47">
        <v>45168</v>
      </c>
      <c r="K192" s="48">
        <v>7.1800000000000003E-2</v>
      </c>
      <c r="L192" s="16"/>
      <c r="M192" s="47">
        <v>45530</v>
      </c>
      <c r="N192" s="48">
        <v>6.8500000000000005E-2</v>
      </c>
      <c r="O192" s="16"/>
      <c r="P192" s="16"/>
      <c r="Q192" s="47">
        <v>44070</v>
      </c>
      <c r="R192" s="49">
        <v>735.25</v>
      </c>
      <c r="S192" s="50">
        <v>16353.08</v>
      </c>
      <c r="T192" s="16">
        <f t="shared" ref="T192:U192" si="742">R192/R193-1</f>
        <v>3.4802784222738303E-3</v>
      </c>
      <c r="U192" s="16">
        <f t="shared" si="742"/>
        <v>8.3662751592616935E-4</v>
      </c>
      <c r="V192" s="16"/>
      <c r="W192" s="47">
        <v>44435</v>
      </c>
      <c r="X192" s="50">
        <v>1446.55</v>
      </c>
      <c r="Y192" s="50">
        <v>23816.68</v>
      </c>
      <c r="Z192" s="16">
        <f t="shared" ref="Z192:AA192" si="743">X192/X193-1</f>
        <v>-2.0007589085515587E-3</v>
      </c>
      <c r="AA192" s="16">
        <f t="shared" si="743"/>
        <v>1.3647760948343191E-4</v>
      </c>
      <c r="AB192" s="16"/>
      <c r="AC192" s="47">
        <v>44802</v>
      </c>
      <c r="AD192" s="50">
        <v>1035.7</v>
      </c>
      <c r="AE192" s="50">
        <v>25138.400000000001</v>
      </c>
      <c r="AF192" s="16">
        <f t="shared" ref="AF192:AG192" si="744">AD192/AD193-1</f>
        <v>-4.6009303182425354E-2</v>
      </c>
      <c r="AG192" s="16">
        <f t="shared" si="744"/>
        <v>-1.4011807509048513E-2</v>
      </c>
      <c r="AH192" s="16"/>
      <c r="AI192" s="47">
        <v>45160</v>
      </c>
      <c r="AJ192" s="50">
        <v>1211.8499999999999</v>
      </c>
      <c r="AK192" s="50">
        <v>28320.400000000001</v>
      </c>
      <c r="AL192" s="16">
        <f t="shared" ref="AL192:AM192" si="745">AJ192/AJ193-1</f>
        <v>-4.845001026483331E-3</v>
      </c>
      <c r="AM192" s="16">
        <f t="shared" si="745"/>
        <v>2.0904897577325166E-3</v>
      </c>
      <c r="AN192" s="16"/>
      <c r="AO192" s="47">
        <v>45531</v>
      </c>
      <c r="AP192" s="50">
        <v>1624.3</v>
      </c>
      <c r="AQ192" s="50">
        <v>37189.269999999997</v>
      </c>
      <c r="AR192" s="16">
        <f t="shared" ref="AR192:AS192" si="746">AP192/AP193-1</f>
        <v>-9.210686836647608E-3</v>
      </c>
      <c r="AS192" s="16">
        <f t="shared" si="746"/>
        <v>1.3829534295277668E-3</v>
      </c>
    </row>
    <row r="193" spans="1:45" ht="15">
      <c r="A193" s="47">
        <v>44070</v>
      </c>
      <c r="B193" s="48">
        <v>6.1499999999999999E-2</v>
      </c>
      <c r="C193" s="16"/>
      <c r="D193" s="47">
        <v>44433</v>
      </c>
      <c r="E193" s="48">
        <v>6.3E-2</v>
      </c>
      <c r="F193" s="16"/>
      <c r="G193" s="47">
        <v>44799</v>
      </c>
      <c r="H193" s="48">
        <v>7.2099999999999997E-2</v>
      </c>
      <c r="I193" s="16"/>
      <c r="J193" s="47">
        <v>45167</v>
      </c>
      <c r="K193" s="48">
        <v>7.17E-2</v>
      </c>
      <c r="L193" s="16"/>
      <c r="M193" s="47">
        <v>45527</v>
      </c>
      <c r="N193" s="48">
        <v>6.8599999999999994E-2</v>
      </c>
      <c r="O193" s="16"/>
      <c r="P193" s="16"/>
      <c r="Q193" s="47">
        <v>44069</v>
      </c>
      <c r="R193" s="49">
        <v>732.7</v>
      </c>
      <c r="S193" s="50">
        <v>16339.41</v>
      </c>
      <c r="T193" s="16">
        <f t="shared" ref="T193:U193" si="747">R193/R194-1</f>
        <v>-8.1223771490456231E-3</v>
      </c>
      <c r="U193" s="16">
        <f t="shared" si="747"/>
        <v>6.9769878344898562E-3</v>
      </c>
      <c r="V193" s="16"/>
      <c r="W193" s="47">
        <v>44434</v>
      </c>
      <c r="X193" s="50">
        <v>1449.45</v>
      </c>
      <c r="Y193" s="50">
        <v>23813.43</v>
      </c>
      <c r="Z193" s="16">
        <f t="shared" ref="Z193:AA193" si="748">X193/X194-1</f>
        <v>-9.2617908407381933E-3</v>
      </c>
      <c r="AA193" s="16">
        <f t="shared" si="748"/>
        <v>6.0212360971645396E-4</v>
      </c>
      <c r="AB193" s="16"/>
      <c r="AC193" s="47">
        <v>44799</v>
      </c>
      <c r="AD193" s="50">
        <v>1085.6500000000001</v>
      </c>
      <c r="AE193" s="50">
        <v>25495.64</v>
      </c>
      <c r="AF193" s="16">
        <f t="shared" ref="AF193:AG193" si="749">AD193/AD194-1</f>
        <v>1.4057537829254896E-2</v>
      </c>
      <c r="AG193" s="16">
        <f t="shared" si="749"/>
        <v>2.0819355830186126E-3</v>
      </c>
      <c r="AH193" s="16"/>
      <c r="AI193" s="47">
        <v>45159</v>
      </c>
      <c r="AJ193" s="50">
        <v>1217.75</v>
      </c>
      <c r="AK193" s="50">
        <v>28261.32</v>
      </c>
      <c r="AL193" s="16">
        <f t="shared" ref="AL193:AM193" si="750">AJ193/AJ194-1</f>
        <v>6.1554986367016173E-3</v>
      </c>
      <c r="AM193" s="16">
        <f t="shared" si="750"/>
        <v>-6.2365763811822461E-3</v>
      </c>
      <c r="AN193" s="16"/>
      <c r="AO193" s="47">
        <v>45530</v>
      </c>
      <c r="AP193" s="50">
        <v>1639.4</v>
      </c>
      <c r="AQ193" s="50">
        <v>37137.910000000003</v>
      </c>
      <c r="AR193" s="16">
        <f t="shared" ref="AR193:AS193" si="751">AP193/AP194-1</f>
        <v>2.5041423078125513E-2</v>
      </c>
      <c r="AS193" s="16">
        <f t="shared" si="751"/>
        <v>2.8577354130243648E-4</v>
      </c>
    </row>
    <row r="194" spans="1:45" ht="15">
      <c r="A194" s="47">
        <v>44069</v>
      </c>
      <c r="B194" s="48">
        <v>6.1899999999999997E-2</v>
      </c>
      <c r="C194" s="16"/>
      <c r="D194" s="47">
        <v>44432</v>
      </c>
      <c r="E194" s="48">
        <v>6.3E-2</v>
      </c>
      <c r="F194" s="16"/>
      <c r="G194" s="47">
        <v>44798</v>
      </c>
      <c r="H194" s="48">
        <v>7.2800000000000004E-2</v>
      </c>
      <c r="I194" s="16"/>
      <c r="J194" s="47">
        <v>45166</v>
      </c>
      <c r="K194" s="48">
        <v>7.1800000000000003E-2</v>
      </c>
      <c r="L194" s="16"/>
      <c r="M194" s="47">
        <v>45526</v>
      </c>
      <c r="N194" s="48">
        <v>6.8500000000000005E-2</v>
      </c>
      <c r="O194" s="16"/>
      <c r="P194" s="16"/>
      <c r="Q194" s="47">
        <v>44068</v>
      </c>
      <c r="R194" s="49">
        <v>738.7</v>
      </c>
      <c r="S194" s="50">
        <v>16226.2</v>
      </c>
      <c r="T194" s="16">
        <f t="shared" ref="T194:U194" si="752">R194/R195-1</f>
        <v>2.2139200221392041E-2</v>
      </c>
      <c r="U194" s="16">
        <f t="shared" si="752"/>
        <v>5.0437722977281219E-4</v>
      </c>
      <c r="V194" s="16"/>
      <c r="W194" s="47">
        <v>44433</v>
      </c>
      <c r="X194" s="50">
        <v>1463</v>
      </c>
      <c r="Y194" s="50">
        <v>23799.1</v>
      </c>
      <c r="Z194" s="16">
        <f t="shared" ref="Z194:AA194" si="753">X194/X195-1</f>
        <v>-6.1479609262937718E-4</v>
      </c>
      <c r="AA194" s="16">
        <f t="shared" si="753"/>
        <v>7.7698606980720619E-3</v>
      </c>
      <c r="AB194" s="16"/>
      <c r="AC194" s="47">
        <v>44798</v>
      </c>
      <c r="AD194" s="50">
        <v>1070.5999999999999</v>
      </c>
      <c r="AE194" s="50">
        <v>25442.67</v>
      </c>
      <c r="AF194" s="16">
        <f t="shared" ref="AF194:AG194" si="754">AD194/AD195-1</f>
        <v>-3.2681264298062285E-4</v>
      </c>
      <c r="AG194" s="16">
        <f t="shared" si="754"/>
        <v>-4.6881155254315798E-3</v>
      </c>
      <c r="AH194" s="16"/>
      <c r="AI194" s="47">
        <v>45156</v>
      </c>
      <c r="AJ194" s="50">
        <v>1210.3</v>
      </c>
      <c r="AK194" s="50">
        <v>28438.68</v>
      </c>
      <c r="AL194" s="16">
        <f t="shared" ref="AL194:AM194" si="755">AJ194/AJ195-1</f>
        <v>-1.8012170385395598E-2</v>
      </c>
      <c r="AM194" s="16">
        <f t="shared" si="755"/>
        <v>-2.9478213188344204E-3</v>
      </c>
      <c r="AN194" s="16"/>
      <c r="AO194" s="47">
        <v>45527</v>
      </c>
      <c r="AP194" s="50">
        <v>1599.35</v>
      </c>
      <c r="AQ194" s="50">
        <v>37127.300000000003</v>
      </c>
      <c r="AR194" s="16">
        <f t="shared" ref="AR194:AS194" si="756">AP194/AP195-1</f>
        <v>-7.1390880590992412E-3</v>
      </c>
      <c r="AS194" s="16">
        <f t="shared" si="756"/>
        <v>7.5518969025500926E-3</v>
      </c>
    </row>
    <row r="195" spans="1:45" ht="15">
      <c r="A195" s="47">
        <v>44068</v>
      </c>
      <c r="B195" s="48">
        <v>6.13E-2</v>
      </c>
      <c r="C195" s="16"/>
      <c r="D195" s="47">
        <v>44431</v>
      </c>
      <c r="E195" s="48">
        <v>6.2899999999999998E-2</v>
      </c>
      <c r="F195" s="16"/>
      <c r="G195" s="47">
        <v>44797</v>
      </c>
      <c r="H195" s="48">
        <v>7.2800000000000004E-2</v>
      </c>
      <c r="I195" s="16"/>
      <c r="J195" s="47">
        <v>45163</v>
      </c>
      <c r="K195" s="48">
        <v>7.1999999999999995E-2</v>
      </c>
      <c r="L195" s="16"/>
      <c r="M195" s="47">
        <v>45525</v>
      </c>
      <c r="N195" s="48">
        <v>6.8500000000000005E-2</v>
      </c>
      <c r="O195" s="16"/>
      <c r="P195" s="16"/>
      <c r="Q195" s="47">
        <v>44067</v>
      </c>
      <c r="R195" s="49">
        <v>722.7</v>
      </c>
      <c r="S195" s="50">
        <v>16218.02</v>
      </c>
      <c r="T195" s="16">
        <f t="shared" ref="T195:U195" si="757">R195/R196-1</f>
        <v>-1.33114888388286E-2</v>
      </c>
      <c r="U195" s="16">
        <f t="shared" si="757"/>
        <v>8.3425351159922556E-3</v>
      </c>
      <c r="V195" s="16"/>
      <c r="W195" s="47">
        <v>44432</v>
      </c>
      <c r="X195" s="50">
        <v>1463.9</v>
      </c>
      <c r="Y195" s="50">
        <v>23615.61</v>
      </c>
      <c r="Z195" s="16">
        <f t="shared" ref="Z195:AA195" si="758">X195/X196-1</f>
        <v>3.4119807855326423E-2</v>
      </c>
      <c r="AA195" s="16">
        <f t="shared" si="758"/>
        <v>2.824737601325511E-3</v>
      </c>
      <c r="AB195" s="16"/>
      <c r="AC195" s="47">
        <v>44797</v>
      </c>
      <c r="AD195" s="50">
        <v>1070.95</v>
      </c>
      <c r="AE195" s="50">
        <v>25562.51</v>
      </c>
      <c r="AF195" s="16">
        <f t="shared" ref="AF195:AG195" si="759">AD195/AD196-1</f>
        <v>4.2196071076936459E-3</v>
      </c>
      <c r="AG195" s="16">
        <f t="shared" si="759"/>
        <v>1.5629273170230107E-3</v>
      </c>
      <c r="AH195" s="16"/>
      <c r="AI195" s="47">
        <v>45155</v>
      </c>
      <c r="AJ195" s="50">
        <v>1232.5</v>
      </c>
      <c r="AK195" s="50">
        <v>28522.76</v>
      </c>
      <c r="AL195" s="16">
        <f t="shared" ref="AL195:AM195" si="760">AJ195/AJ196-1</f>
        <v>4.2778569973518366E-3</v>
      </c>
      <c r="AM195" s="16">
        <f t="shared" si="760"/>
        <v>2.4514102374406654E-3</v>
      </c>
      <c r="AN195" s="16"/>
      <c r="AO195" s="47">
        <v>45526</v>
      </c>
      <c r="AP195" s="50">
        <v>1610.85</v>
      </c>
      <c r="AQ195" s="50">
        <v>36849.019999999997</v>
      </c>
      <c r="AR195" s="16">
        <f t="shared" ref="AR195:AS195" si="761">AP195/AP196-1</f>
        <v>3.3635429318881194E-3</v>
      </c>
      <c r="AS195" s="16">
        <f t="shared" si="761"/>
        <v>5.5717718614656242E-4</v>
      </c>
    </row>
    <row r="196" spans="1:45" ht="15">
      <c r="A196" s="47">
        <v>44067</v>
      </c>
      <c r="B196" s="48">
        <v>6.1600000000000002E-2</v>
      </c>
      <c r="C196" s="16"/>
      <c r="D196" s="47">
        <v>44428</v>
      </c>
      <c r="E196" s="48">
        <v>6.2899999999999998E-2</v>
      </c>
      <c r="F196" s="16"/>
      <c r="G196" s="47">
        <v>44796</v>
      </c>
      <c r="H196" s="48">
        <v>7.2700000000000001E-2</v>
      </c>
      <c r="I196" s="16"/>
      <c r="J196" s="47">
        <v>45162</v>
      </c>
      <c r="K196" s="48">
        <v>7.1900000000000006E-2</v>
      </c>
      <c r="L196" s="16"/>
      <c r="M196" s="47">
        <v>45524</v>
      </c>
      <c r="N196" s="48">
        <v>6.8599999999999994E-2</v>
      </c>
      <c r="O196" s="16"/>
      <c r="P196" s="16"/>
      <c r="Q196" s="47">
        <v>44064</v>
      </c>
      <c r="R196" s="49">
        <v>732.45</v>
      </c>
      <c r="S196" s="50">
        <v>16083.84</v>
      </c>
      <c r="T196" s="16">
        <f t="shared" ref="T196:U196" si="762">R196/R197-1</f>
        <v>8.8842975206611108E-3</v>
      </c>
      <c r="U196" s="16">
        <f t="shared" si="762"/>
        <v>5.2487959269642559E-3</v>
      </c>
      <c r="V196" s="16"/>
      <c r="W196" s="47">
        <v>44431</v>
      </c>
      <c r="X196" s="50">
        <v>1415.6</v>
      </c>
      <c r="Y196" s="50">
        <v>23549.09</v>
      </c>
      <c r="Z196" s="16">
        <f t="shared" ref="Z196:AA196" si="763">X196/X197-1</f>
        <v>1.1612534390967211E-2</v>
      </c>
      <c r="AA196" s="16">
        <f t="shared" si="763"/>
        <v>-7.1454560709182102E-3</v>
      </c>
      <c r="AB196" s="16"/>
      <c r="AC196" s="47">
        <v>44796</v>
      </c>
      <c r="AD196" s="50">
        <v>1066.45</v>
      </c>
      <c r="AE196" s="50">
        <v>25522.62</v>
      </c>
      <c r="AF196" s="16">
        <f t="shared" ref="AF196:AG196" si="764">AD196/AD197-1</f>
        <v>-1.1218765935746999E-2</v>
      </c>
      <c r="AG196" s="16">
        <f t="shared" si="764"/>
        <v>4.963268661870357E-3</v>
      </c>
      <c r="AH196" s="16"/>
      <c r="AI196" s="47">
        <v>45154</v>
      </c>
      <c r="AJ196" s="50">
        <v>1227.25</v>
      </c>
      <c r="AK196" s="50">
        <v>28453.01</v>
      </c>
      <c r="AL196" s="16">
        <f t="shared" ref="AL196:AM196" si="765">AJ196/AJ197-1</f>
        <v>6.2725483765169177E-3</v>
      </c>
      <c r="AM196" s="16">
        <f t="shared" si="765"/>
        <v>1.4693047130576176E-4</v>
      </c>
      <c r="AN196" s="16"/>
      <c r="AO196" s="47">
        <v>45525</v>
      </c>
      <c r="AP196" s="50">
        <v>1605.45</v>
      </c>
      <c r="AQ196" s="50">
        <v>36828.5</v>
      </c>
      <c r="AR196" s="16">
        <f t="shared" ref="AR196:AS196" si="766">AP196/AP197-1</f>
        <v>-1.4093588798820944E-2</v>
      </c>
      <c r="AS196" s="16">
        <f t="shared" si="766"/>
        <v>1.6675193290538459E-3</v>
      </c>
    </row>
    <row r="197" spans="1:45" ht="15">
      <c r="A197" s="47">
        <v>44064</v>
      </c>
      <c r="B197" s="48">
        <v>6.0900000000000003E-2</v>
      </c>
      <c r="C197" s="16"/>
      <c r="D197" s="47">
        <v>44426</v>
      </c>
      <c r="E197" s="48">
        <v>6.2899999999999998E-2</v>
      </c>
      <c r="F197" s="16"/>
      <c r="G197" s="47">
        <v>44795</v>
      </c>
      <c r="H197" s="48">
        <v>7.2599999999999998E-2</v>
      </c>
      <c r="I197" s="16"/>
      <c r="J197" s="47">
        <v>45161</v>
      </c>
      <c r="K197" s="48">
        <v>7.1999999999999995E-2</v>
      </c>
      <c r="L197" s="16"/>
      <c r="M197" s="47">
        <v>45523</v>
      </c>
      <c r="N197" s="48">
        <v>6.8599999999999994E-2</v>
      </c>
      <c r="O197" s="16"/>
      <c r="P197" s="16"/>
      <c r="Q197" s="47">
        <v>44063</v>
      </c>
      <c r="R197" s="49">
        <v>726</v>
      </c>
      <c r="S197" s="50">
        <v>15999.86</v>
      </c>
      <c r="T197" s="16">
        <f t="shared" ref="T197:U197" si="767">R197/R198-1</f>
        <v>-1.1007154650521933E-3</v>
      </c>
      <c r="U197" s="16">
        <f t="shared" si="767"/>
        <v>-8.4302756154137626E-3</v>
      </c>
      <c r="V197" s="16"/>
      <c r="W197" s="47">
        <v>44428</v>
      </c>
      <c r="X197" s="50">
        <v>1399.35</v>
      </c>
      <c r="Y197" s="50">
        <v>23718.57</v>
      </c>
      <c r="Z197" s="16">
        <f t="shared" ref="Z197:AA197" si="768">X197/X198-1</f>
        <v>-9.4499893820344516E-3</v>
      </c>
      <c r="AA197" s="16">
        <f t="shared" si="768"/>
        <v>-2.7531055476254229E-3</v>
      </c>
      <c r="AB197" s="16"/>
      <c r="AC197" s="47">
        <v>44795</v>
      </c>
      <c r="AD197" s="50">
        <v>1078.55</v>
      </c>
      <c r="AE197" s="50">
        <v>25396.57</v>
      </c>
      <c r="AF197" s="16">
        <f t="shared" ref="AF197:AG197" si="769">AD197/AD198-1</f>
        <v>-2.2698441464298669E-2</v>
      </c>
      <c r="AG197" s="16">
        <f t="shared" si="769"/>
        <v>-1.5079463572409302E-2</v>
      </c>
      <c r="AH197" s="16"/>
      <c r="AI197" s="47">
        <v>45152</v>
      </c>
      <c r="AJ197" s="50">
        <v>1219.5999999999999</v>
      </c>
      <c r="AK197" s="50">
        <v>28448.83</v>
      </c>
      <c r="AL197" s="16">
        <f t="shared" ref="AL197:AM197" si="770">AJ197/AJ198-1</f>
        <v>-4.5076425029721978E-4</v>
      </c>
      <c r="AM197" s="16">
        <f t="shared" si="770"/>
        <v>4.6799883176869006E-3</v>
      </c>
      <c r="AN197" s="16"/>
      <c r="AO197" s="47">
        <v>45524</v>
      </c>
      <c r="AP197" s="50">
        <v>1628.4</v>
      </c>
      <c r="AQ197" s="50">
        <v>36767.19</v>
      </c>
      <c r="AR197" s="16">
        <f t="shared" ref="AR197:AS197" si="771">AP197/AP198-1</f>
        <v>2.1164518859937864E-2</v>
      </c>
      <c r="AS197" s="16">
        <f t="shared" si="771"/>
        <v>2.8899731705747111E-3</v>
      </c>
    </row>
    <row r="198" spans="1:45" ht="15">
      <c r="A198" s="47">
        <v>44063</v>
      </c>
      <c r="B198" s="48">
        <v>5.9499999999999997E-2</v>
      </c>
      <c r="C198" s="16"/>
      <c r="D198" s="47">
        <v>44425</v>
      </c>
      <c r="E198" s="48">
        <v>6.3100000000000003E-2</v>
      </c>
      <c r="F198" s="16"/>
      <c r="G198" s="47">
        <v>44792</v>
      </c>
      <c r="H198" s="48">
        <v>7.2499999999999995E-2</v>
      </c>
      <c r="I198" s="16"/>
      <c r="J198" s="47">
        <v>45160</v>
      </c>
      <c r="K198" s="48">
        <v>7.2099999999999997E-2</v>
      </c>
      <c r="L198" s="16"/>
      <c r="M198" s="47">
        <v>45520</v>
      </c>
      <c r="N198" s="48">
        <v>6.8699999999999997E-2</v>
      </c>
      <c r="O198" s="16"/>
      <c r="P198" s="16"/>
      <c r="Q198" s="47">
        <v>44062</v>
      </c>
      <c r="R198" s="49">
        <v>726.8</v>
      </c>
      <c r="S198" s="50">
        <v>16135.89</v>
      </c>
      <c r="T198" s="16">
        <f t="shared" ref="T198:U198" si="772">R198/R199-1</f>
        <v>1.9140433288929337E-2</v>
      </c>
      <c r="U198" s="16">
        <f t="shared" si="772"/>
        <v>2.1134204371420218E-3</v>
      </c>
      <c r="V198" s="16"/>
      <c r="W198" s="47">
        <v>44426</v>
      </c>
      <c r="X198" s="50">
        <v>1412.7</v>
      </c>
      <c r="Y198" s="50">
        <v>23784.05</v>
      </c>
      <c r="Z198" s="16">
        <f t="shared" ref="Z198:AA198" si="773">X198/X199-1</f>
        <v>-1.5548802035479925E-3</v>
      </c>
      <c r="AA198" s="16">
        <f t="shared" si="773"/>
        <v>3.1916984627375911E-3</v>
      </c>
      <c r="AB198" s="16"/>
      <c r="AC198" s="47">
        <v>44792</v>
      </c>
      <c r="AD198" s="50">
        <v>1103.5999999999999</v>
      </c>
      <c r="AE198" s="50">
        <v>25785.4</v>
      </c>
      <c r="AF198" s="16">
        <f t="shared" ref="AF198:AG198" si="774">AD198/AD199-1</f>
        <v>-1.4928749151776888E-3</v>
      </c>
      <c r="AG198" s="16">
        <f t="shared" si="774"/>
        <v>-1.0816212618467103E-2</v>
      </c>
      <c r="AH198" s="16"/>
      <c r="AI198" s="51">
        <v>45149</v>
      </c>
      <c r="AJ198" s="50">
        <v>1220.1500000000001</v>
      </c>
      <c r="AK198" s="50">
        <v>28316.31</v>
      </c>
      <c r="AL198" s="16">
        <f t="shared" ref="AL198:AM198" si="775">AJ198/AJ199-1</f>
        <v>-1.3023255813953361E-2</v>
      </c>
      <c r="AM198" s="16">
        <f t="shared" si="775"/>
        <v>-2.7066377958634424E-3</v>
      </c>
      <c r="AN198" s="16"/>
      <c r="AO198" s="47">
        <v>45523</v>
      </c>
      <c r="AP198" s="50">
        <v>1594.65</v>
      </c>
      <c r="AQ198" s="50">
        <v>36661.24</v>
      </c>
      <c r="AR198" s="16">
        <f t="shared" ref="AR198:AS198" si="776">AP198/AP199-1</f>
        <v>6.0248564759322054E-3</v>
      </c>
      <c r="AS198" s="16">
        <f t="shared" si="776"/>
        <v>5.1348976461282891E-3</v>
      </c>
    </row>
    <row r="199" spans="1:45" ht="15">
      <c r="A199" s="47">
        <v>44062</v>
      </c>
      <c r="B199" s="48">
        <v>5.9700000000000003E-2</v>
      </c>
      <c r="C199" s="16"/>
      <c r="D199" s="47">
        <v>44424</v>
      </c>
      <c r="E199" s="48">
        <v>6.3399999999999998E-2</v>
      </c>
      <c r="F199" s="16"/>
      <c r="G199" s="47">
        <v>44791</v>
      </c>
      <c r="H199" s="48">
        <v>7.2400000000000006E-2</v>
      </c>
      <c r="I199" s="16"/>
      <c r="J199" s="47">
        <v>45159</v>
      </c>
      <c r="K199" s="48">
        <v>7.22E-2</v>
      </c>
      <c r="L199" s="16"/>
      <c r="M199" s="47">
        <v>45518</v>
      </c>
      <c r="N199" s="48">
        <v>6.8599999999999994E-2</v>
      </c>
      <c r="O199" s="16"/>
      <c r="P199" s="16"/>
      <c r="Q199" s="47">
        <v>44061</v>
      </c>
      <c r="R199" s="49">
        <v>713.15</v>
      </c>
      <c r="S199" s="50">
        <v>16101.86</v>
      </c>
      <c r="T199" s="16">
        <f t="shared" ref="T199:U199" si="777">R199/R200-1</f>
        <v>-1.1024823186797983E-2</v>
      </c>
      <c r="U199" s="16">
        <f t="shared" si="777"/>
        <v>1.22951360750998E-2</v>
      </c>
      <c r="V199" s="16"/>
      <c r="W199" s="47">
        <v>44425</v>
      </c>
      <c r="X199" s="50">
        <v>1414.9</v>
      </c>
      <c r="Y199" s="50">
        <v>23708.38</v>
      </c>
      <c r="Z199" s="16">
        <f t="shared" ref="Z199:AA199" si="778">X199/X200-1</f>
        <v>3.4586136297163117E-2</v>
      </c>
      <c r="AA199" s="16">
        <f t="shared" si="778"/>
        <v>2.0541188464138216E-3</v>
      </c>
      <c r="AB199" s="16"/>
      <c r="AC199" s="47">
        <v>44791</v>
      </c>
      <c r="AD199" s="50">
        <v>1105.25</v>
      </c>
      <c r="AE199" s="50">
        <v>26067.35</v>
      </c>
      <c r="AF199" s="16">
        <f t="shared" ref="AF199:AG199" si="779">AD199/AD200-1</f>
        <v>9.0559203079010331E-4</v>
      </c>
      <c r="AG199" s="16">
        <f t="shared" si="779"/>
        <v>1.209101136240065E-3</v>
      </c>
      <c r="AH199" s="16"/>
      <c r="AI199" s="51">
        <v>45148</v>
      </c>
      <c r="AJ199" s="50">
        <v>1236.25</v>
      </c>
      <c r="AK199" s="50">
        <v>28393.16</v>
      </c>
      <c r="AL199" s="16">
        <f t="shared" ref="AL199:AM199" si="780">AJ199/AJ200-1</f>
        <v>6.759232867787679E-3</v>
      </c>
      <c r="AM199" s="16">
        <f t="shared" si="780"/>
        <v>-5.1234469704668495E-3</v>
      </c>
      <c r="AN199" s="16"/>
      <c r="AO199" s="47">
        <v>45520</v>
      </c>
      <c r="AP199" s="50">
        <v>1585.1</v>
      </c>
      <c r="AQ199" s="50">
        <v>36473.949999999997</v>
      </c>
      <c r="AR199" s="16">
        <f t="shared" ref="AR199:AS199" si="781">AP199/AP200-1</f>
        <v>4.0160115493142579E-2</v>
      </c>
      <c r="AS199" s="16">
        <f t="shared" si="781"/>
        <v>1.5954591201359225E-3</v>
      </c>
    </row>
    <row r="200" spans="1:45" ht="15">
      <c r="A200" s="47">
        <v>44061</v>
      </c>
      <c r="B200" s="48">
        <v>5.96E-2</v>
      </c>
      <c r="C200" s="16"/>
      <c r="D200" s="47">
        <v>44421</v>
      </c>
      <c r="E200" s="48">
        <v>6.3399999999999998E-2</v>
      </c>
      <c r="F200" s="16"/>
      <c r="G200" s="47">
        <v>44790</v>
      </c>
      <c r="H200" s="48">
        <v>7.1900000000000006E-2</v>
      </c>
      <c r="I200" s="16"/>
      <c r="J200" s="47">
        <v>45156</v>
      </c>
      <c r="K200" s="48">
        <v>7.22E-2</v>
      </c>
      <c r="L200" s="16"/>
      <c r="M200" s="47">
        <v>45517</v>
      </c>
      <c r="N200" s="48">
        <v>6.8900000000000003E-2</v>
      </c>
      <c r="O200" s="16"/>
      <c r="P200" s="16"/>
      <c r="Q200" s="54">
        <v>44060</v>
      </c>
      <c r="R200" s="49">
        <v>721.1</v>
      </c>
      <c r="S200" s="50">
        <v>15906.29</v>
      </c>
      <c r="T200" s="16">
        <f t="shared" ref="T200:U200" si="782">R200/R201-1</f>
        <v>3.6212099439574708E-2</v>
      </c>
      <c r="U200" s="16">
        <f t="shared" si="782"/>
        <v>6.1432700135428675E-3</v>
      </c>
      <c r="V200" s="16"/>
      <c r="W200" s="47">
        <v>44424</v>
      </c>
      <c r="X200" s="50">
        <v>1367.6</v>
      </c>
      <c r="Y200" s="50">
        <v>23659.78</v>
      </c>
      <c r="Z200" s="16">
        <f t="shared" ref="Z200:AA200" si="783">X200/X201-1</f>
        <v>-1.0956427409148484E-2</v>
      </c>
      <c r="AA200" s="16">
        <f t="shared" si="783"/>
        <v>1.0064019699419724E-2</v>
      </c>
      <c r="AB200" s="16"/>
      <c r="AC200" s="47">
        <v>44790</v>
      </c>
      <c r="AD200" s="50">
        <v>1104.25</v>
      </c>
      <c r="AE200" s="50">
        <v>26035.87</v>
      </c>
      <c r="AF200" s="16">
        <f t="shared" ref="AF200:AG200" si="784">AD200/AD201-1</f>
        <v>2.4493204063645413E-2</v>
      </c>
      <c r="AG200" s="16">
        <f t="shared" si="784"/>
        <v>6.6747244351441637E-3</v>
      </c>
      <c r="AH200" s="16"/>
      <c r="AI200" s="51">
        <v>45147</v>
      </c>
      <c r="AJ200" s="50">
        <v>1227.95</v>
      </c>
      <c r="AK200" s="50">
        <v>28539.38</v>
      </c>
      <c r="AL200" s="16">
        <f t="shared" ref="AL200:AM200" si="785">AJ200/AJ201-1</f>
        <v>1.8792001991205565E-2</v>
      </c>
      <c r="AM200" s="16">
        <f t="shared" si="785"/>
        <v>1.5651989592480042E-3</v>
      </c>
      <c r="AN200" s="16"/>
      <c r="AO200" s="47">
        <v>45518</v>
      </c>
      <c r="AP200" s="50">
        <v>1523.9</v>
      </c>
      <c r="AQ200" s="50">
        <v>36415.85</v>
      </c>
      <c r="AR200" s="16">
        <f t="shared" ref="AR200:AS200" si="786">AP200/AP201-1</f>
        <v>1.4141683026652974E-2</v>
      </c>
      <c r="AS200" s="16">
        <f t="shared" si="786"/>
        <v>1.6694450733976796E-2</v>
      </c>
    </row>
    <row r="201" spans="1:45" ht="15">
      <c r="A201" s="47">
        <v>44060</v>
      </c>
      <c r="B201" s="48">
        <v>5.9499999999999997E-2</v>
      </c>
      <c r="C201" s="16"/>
      <c r="D201" s="51">
        <v>44420</v>
      </c>
      <c r="E201" s="48">
        <v>6.3399999999999998E-2</v>
      </c>
      <c r="F201" s="16"/>
      <c r="G201" s="47">
        <v>44789</v>
      </c>
      <c r="H201" s="48">
        <v>7.2900000000000006E-2</v>
      </c>
      <c r="I201" s="16"/>
      <c r="J201" s="47">
        <v>45155</v>
      </c>
      <c r="K201" s="48">
        <v>7.2499999999999995E-2</v>
      </c>
      <c r="L201" s="16"/>
      <c r="M201" s="51">
        <v>45516</v>
      </c>
      <c r="N201" s="48">
        <v>6.88E-2</v>
      </c>
      <c r="O201" s="16"/>
      <c r="P201" s="16"/>
      <c r="Q201" s="54">
        <v>44057</v>
      </c>
      <c r="R201" s="49">
        <v>695.9</v>
      </c>
      <c r="S201" s="50">
        <v>15809.17</v>
      </c>
      <c r="T201" s="16">
        <f t="shared" ref="T201:U201" si="787">R201/R202-1</f>
        <v>-1.9361778415203368E-3</v>
      </c>
      <c r="U201" s="16">
        <f t="shared" si="787"/>
        <v>-1.0797329200280537E-2</v>
      </c>
      <c r="V201" s="16"/>
      <c r="W201" s="47">
        <v>44421</v>
      </c>
      <c r="X201" s="50">
        <v>1382.75</v>
      </c>
      <c r="Y201" s="50">
        <v>23424.04</v>
      </c>
      <c r="Z201" s="16">
        <f t="shared" ref="Z201:AA201" si="788">X201/X202-1</f>
        <v>-3.10010453840881E-3</v>
      </c>
      <c r="AA201" s="16">
        <f t="shared" si="788"/>
        <v>5.1557915867266324E-3</v>
      </c>
      <c r="AB201" s="16"/>
      <c r="AC201" s="47">
        <v>44789</v>
      </c>
      <c r="AD201" s="50">
        <v>1077.8499999999999</v>
      </c>
      <c r="AE201" s="50">
        <v>25863.24</v>
      </c>
      <c r="AF201" s="16">
        <f t="shared" ref="AF201:AG201" si="789">AD201/AD202-1</f>
        <v>1.0926655411742425E-2</v>
      </c>
      <c r="AG201" s="16">
        <f t="shared" si="789"/>
        <v>7.1814019563976039E-3</v>
      </c>
      <c r="AH201" s="16"/>
      <c r="AI201" s="51">
        <v>45146</v>
      </c>
      <c r="AJ201" s="50">
        <v>1205.3</v>
      </c>
      <c r="AK201" s="50">
        <v>28494.78</v>
      </c>
      <c r="AL201" s="16">
        <f t="shared" ref="AL201:AM201" si="790">AJ201/AJ202-1</f>
        <v>1.8247866858156492E-2</v>
      </c>
      <c r="AM201" s="16">
        <f t="shared" si="790"/>
        <v>4.3289815307323565E-4</v>
      </c>
      <c r="AN201" s="16"/>
      <c r="AO201" s="47">
        <v>45517</v>
      </c>
      <c r="AP201" s="50">
        <v>1502.65</v>
      </c>
      <c r="AQ201" s="50">
        <v>35817.89</v>
      </c>
      <c r="AR201" s="16">
        <f t="shared" ref="AR201:AS201" si="791">AP201/AP202-1</f>
        <v>-6.6109146200377111E-3</v>
      </c>
      <c r="AS201" s="16">
        <f t="shared" si="791"/>
        <v>1.971470641701778E-4</v>
      </c>
    </row>
    <row r="202" spans="1:45" ht="15">
      <c r="A202" s="47">
        <v>44057</v>
      </c>
      <c r="B202" s="48">
        <v>5.9499999999999997E-2</v>
      </c>
      <c r="C202" s="16"/>
      <c r="D202" s="51">
        <v>44419</v>
      </c>
      <c r="E202" s="48">
        <v>6.3399999999999998E-2</v>
      </c>
      <c r="F202" s="16"/>
      <c r="G202" s="47">
        <v>44788</v>
      </c>
      <c r="H202" s="48">
        <v>7.2900000000000006E-2</v>
      </c>
      <c r="I202" s="16"/>
      <c r="J202" s="47">
        <v>45153</v>
      </c>
      <c r="K202" s="48">
        <v>7.2099999999999997E-2</v>
      </c>
      <c r="L202" s="16"/>
      <c r="M202" s="51">
        <v>45513</v>
      </c>
      <c r="N202" s="48">
        <v>6.88E-2</v>
      </c>
      <c r="O202" s="16"/>
      <c r="P202" s="16"/>
      <c r="Q202" s="54">
        <v>44056</v>
      </c>
      <c r="R202" s="49">
        <v>697.25</v>
      </c>
      <c r="S202" s="50">
        <v>15981.73</v>
      </c>
      <c r="T202" s="16">
        <f t="shared" ref="T202:U202" si="792">R202/R203-1</f>
        <v>7.2955793123374857E-3</v>
      </c>
      <c r="U202" s="16">
        <f t="shared" si="792"/>
        <v>-2.6898485740367573E-4</v>
      </c>
      <c r="V202" s="16"/>
      <c r="W202" s="51">
        <v>44420</v>
      </c>
      <c r="X202" s="50">
        <v>1387.05</v>
      </c>
      <c r="Y202" s="50">
        <v>23303.89</v>
      </c>
      <c r="Z202" s="16">
        <f t="shared" ref="Z202:AA202" si="793">X202/X203-1</f>
        <v>4.8175017002947129E-2</v>
      </c>
      <c r="AA202" s="16">
        <f t="shared" si="793"/>
        <v>1.5149980515327677E-4</v>
      </c>
      <c r="AB202" s="16"/>
      <c r="AC202" s="51">
        <v>44785</v>
      </c>
      <c r="AD202" s="50">
        <v>1066.2</v>
      </c>
      <c r="AE202" s="50">
        <v>25678.83</v>
      </c>
      <c r="AF202" s="16">
        <f t="shared" ref="AF202:AG202" si="794">AD202/AD203-1</f>
        <v>-1.0165715081465021E-2</v>
      </c>
      <c r="AG202" s="16">
        <f t="shared" si="794"/>
        <v>2.2547857114421088E-3</v>
      </c>
      <c r="AH202" s="16"/>
      <c r="AI202" s="51">
        <v>45145</v>
      </c>
      <c r="AJ202" s="50">
        <v>1183.7</v>
      </c>
      <c r="AK202" s="50">
        <v>28482.45</v>
      </c>
      <c r="AL202" s="16">
        <f t="shared" ref="AL202:AM202" si="795">AJ202/AJ203-1</f>
        <v>6.9757549978732847E-3</v>
      </c>
      <c r="AM202" s="16">
        <f t="shared" si="795"/>
        <v>-5.4635440163245397E-3</v>
      </c>
      <c r="AN202" s="16"/>
      <c r="AO202" s="51">
        <v>45516</v>
      </c>
      <c r="AP202" s="50">
        <v>1512.65</v>
      </c>
      <c r="AQ202" s="50">
        <v>35810.83</v>
      </c>
      <c r="AR202" s="16">
        <f t="shared" ref="AR202:AS202" si="796">AP202/AP203-1</f>
        <v>4.0156644099298422E-3</v>
      </c>
      <c r="AS202" s="16">
        <f t="shared" si="796"/>
        <v>-8.5444268946508473E-3</v>
      </c>
    </row>
    <row r="203" spans="1:45" ht="15">
      <c r="A203" s="47">
        <v>44056</v>
      </c>
      <c r="B203" s="48">
        <v>5.8700000000000002E-2</v>
      </c>
      <c r="C203" s="16"/>
      <c r="D203" s="51">
        <v>44418</v>
      </c>
      <c r="E203" s="48">
        <v>6.3399999999999998E-2</v>
      </c>
      <c r="F203" s="16"/>
      <c r="G203" s="51">
        <v>44785</v>
      </c>
      <c r="H203" s="48">
        <v>7.2900000000000006E-2</v>
      </c>
      <c r="I203" s="16"/>
      <c r="J203" s="47">
        <v>45152</v>
      </c>
      <c r="K203" s="48">
        <v>7.2099999999999997E-2</v>
      </c>
      <c r="L203" s="16"/>
      <c r="M203" s="51">
        <v>45512</v>
      </c>
      <c r="N203" s="48">
        <v>6.8699999999999997E-2</v>
      </c>
      <c r="O203" s="16"/>
      <c r="P203" s="16"/>
      <c r="Q203" s="51">
        <v>44055</v>
      </c>
      <c r="R203" s="49">
        <v>692.2</v>
      </c>
      <c r="S203" s="50">
        <v>15986.03</v>
      </c>
      <c r="T203" s="16">
        <f t="shared" ref="T203:U203" si="797">R203/R204-1</f>
        <v>2.570941690746098E-2</v>
      </c>
      <c r="U203" s="16">
        <f t="shared" si="797"/>
        <v>-1.2470331419673908E-3</v>
      </c>
      <c r="V203" s="16"/>
      <c r="W203" s="51">
        <v>44419</v>
      </c>
      <c r="X203" s="50">
        <v>1323.3</v>
      </c>
      <c r="Y203" s="50">
        <v>23300.36</v>
      </c>
      <c r="Z203" s="16">
        <f t="shared" ref="Z203:AA203" si="798">X203/X204-1</f>
        <v>1.5116015418348283E-4</v>
      </c>
      <c r="AA203" s="16">
        <f t="shared" si="798"/>
        <v>1.3425518455361107E-3</v>
      </c>
      <c r="AB203" s="16"/>
      <c r="AC203" s="51">
        <v>44784</v>
      </c>
      <c r="AD203" s="50">
        <v>1077.1500000000001</v>
      </c>
      <c r="AE203" s="50">
        <v>25621.06</v>
      </c>
      <c r="AF203" s="16">
        <f t="shared" ref="AF203:AG203" si="799">AD203/AD204-1</f>
        <v>2.1188850967008177E-2</v>
      </c>
      <c r="AG203" s="16">
        <f t="shared" si="799"/>
        <v>7.4371105288157935E-3</v>
      </c>
      <c r="AH203" s="16"/>
      <c r="AI203" s="51">
        <v>45142</v>
      </c>
      <c r="AJ203" s="50">
        <v>1175.5</v>
      </c>
      <c r="AK203" s="50">
        <v>28638.92</v>
      </c>
      <c r="AL203" s="16">
        <f t="shared" ref="AL203:AM203" si="800">AJ203/AJ204-1</f>
        <v>2.9064168782281463E-2</v>
      </c>
      <c r="AM203" s="16">
        <f t="shared" si="800"/>
        <v>-4.5550968596770325E-3</v>
      </c>
      <c r="AN203" s="16"/>
      <c r="AO203" s="51">
        <v>45513</v>
      </c>
      <c r="AP203" s="50">
        <v>1506.6</v>
      </c>
      <c r="AQ203" s="50">
        <v>36119.449999999997</v>
      </c>
      <c r="AR203" s="16">
        <f t="shared" ref="AR203:AS203" si="801">AP203/AP204-1</f>
        <v>2.737904463159313E-2</v>
      </c>
      <c r="AS203" s="16">
        <f t="shared" si="801"/>
        <v>-1.8767527084906366E-4</v>
      </c>
    </row>
    <row r="204" spans="1:45" ht="15">
      <c r="A204" s="51">
        <v>44055</v>
      </c>
      <c r="B204" s="48">
        <v>5.8599999999999999E-2</v>
      </c>
      <c r="C204" s="16"/>
      <c r="D204" s="51">
        <v>44417</v>
      </c>
      <c r="E204" s="48">
        <v>6.3399999999999998E-2</v>
      </c>
      <c r="F204" s="16"/>
      <c r="G204" s="51">
        <v>44784</v>
      </c>
      <c r="H204" s="48">
        <v>7.2700000000000001E-2</v>
      </c>
      <c r="I204" s="16"/>
      <c r="J204" s="51">
        <v>45149</v>
      </c>
      <c r="K204" s="48">
        <v>7.1900000000000006E-2</v>
      </c>
      <c r="L204" s="16"/>
      <c r="M204" s="51">
        <v>45511</v>
      </c>
      <c r="N204" s="48">
        <v>6.8699999999999997E-2</v>
      </c>
      <c r="O204" s="16"/>
      <c r="P204" s="16"/>
      <c r="Q204" s="51">
        <v>44054</v>
      </c>
      <c r="R204" s="49">
        <v>674.85</v>
      </c>
      <c r="S204" s="50">
        <v>16005.99</v>
      </c>
      <c r="T204" s="16">
        <f t="shared" ref="T204:U204" si="802">R204/R205-1</f>
        <v>-9.5398840537168628E-3</v>
      </c>
      <c r="U204" s="16">
        <f t="shared" si="802"/>
        <v>4.6460042292322257E-3</v>
      </c>
      <c r="V204" s="16"/>
      <c r="W204" s="51">
        <v>44418</v>
      </c>
      <c r="X204" s="50">
        <v>1323.1</v>
      </c>
      <c r="Y204" s="50">
        <v>23269.119999999999</v>
      </c>
      <c r="Z204" s="16">
        <f t="shared" ref="Z204:AA204" si="803">X204/X205-1</f>
        <v>2.8129613800605968E-2</v>
      </c>
      <c r="AA204" s="16">
        <f t="shared" si="803"/>
        <v>1.3034219020491289E-3</v>
      </c>
      <c r="AB204" s="16"/>
      <c r="AC204" s="51">
        <v>44783</v>
      </c>
      <c r="AD204" s="50">
        <v>1054.8</v>
      </c>
      <c r="AE204" s="50">
        <v>25431.919999999998</v>
      </c>
      <c r="AF204" s="16">
        <f t="shared" ref="AF204:AG204" si="804">AD204/AD205-1</f>
        <v>-1.9397265458673818E-3</v>
      </c>
      <c r="AG204" s="16">
        <f t="shared" si="804"/>
        <v>7.3465613410328423E-4</v>
      </c>
      <c r="AH204" s="16"/>
      <c r="AI204" s="51">
        <v>45141</v>
      </c>
      <c r="AJ204" s="50">
        <v>1142.3</v>
      </c>
      <c r="AK204" s="50">
        <v>28769.97</v>
      </c>
      <c r="AL204" s="16">
        <f t="shared" ref="AL204:AM204" si="805">AJ204/AJ205-1</f>
        <v>-3.5329524141841651E-3</v>
      </c>
      <c r="AM204" s="16">
        <f t="shared" si="805"/>
        <v>3.7992287799342161E-3</v>
      </c>
      <c r="AN204" s="16"/>
      <c r="AO204" s="51">
        <v>45512</v>
      </c>
      <c r="AP204" s="50">
        <v>1466.45</v>
      </c>
      <c r="AQ204" s="50">
        <v>36126.230000000003</v>
      </c>
      <c r="AR204" s="16">
        <f t="shared" ref="AR204:AS204" si="806">AP204/AP205-1</f>
        <v>-4.6832049411205112E-3</v>
      </c>
      <c r="AS204" s="16">
        <f t="shared" si="806"/>
        <v>1.0435732601798087E-2</v>
      </c>
    </row>
    <row r="205" spans="1:45" ht="15">
      <c r="A205" s="51">
        <v>44054</v>
      </c>
      <c r="B205" s="48">
        <v>5.8599999999999999E-2</v>
      </c>
      <c r="C205" s="16"/>
      <c r="D205" s="51">
        <v>44414</v>
      </c>
      <c r="E205" s="48">
        <v>6.3600000000000004E-2</v>
      </c>
      <c r="F205" s="16"/>
      <c r="G205" s="51">
        <v>44783</v>
      </c>
      <c r="H205" s="48">
        <v>7.3099999999999998E-2</v>
      </c>
      <c r="I205" s="16"/>
      <c r="J205" s="51">
        <v>45148</v>
      </c>
      <c r="K205" s="48">
        <v>7.1599999999999997E-2</v>
      </c>
      <c r="L205" s="16"/>
      <c r="M205" s="51">
        <v>45510</v>
      </c>
      <c r="N205" s="48">
        <v>6.8699999999999997E-2</v>
      </c>
      <c r="O205" s="16"/>
      <c r="P205" s="16"/>
      <c r="Q205" s="51">
        <v>44053</v>
      </c>
      <c r="R205" s="49">
        <v>681.35</v>
      </c>
      <c r="S205" s="50">
        <v>15931.97</v>
      </c>
      <c r="T205" s="16">
        <f t="shared" ref="T205:U205" si="807">R205/R206-1</f>
        <v>2.8685740167585072E-2</v>
      </c>
      <c r="U205" s="16">
        <f t="shared" si="807"/>
        <v>5.0035798431176115E-3</v>
      </c>
      <c r="V205" s="16"/>
      <c r="W205" s="51">
        <v>44417</v>
      </c>
      <c r="X205" s="50">
        <v>1286.9000000000001</v>
      </c>
      <c r="Y205" s="50">
        <v>23238.83</v>
      </c>
      <c r="Z205" s="16">
        <f t="shared" ref="Z205:AA205" si="808">X205/X206-1</f>
        <v>1.7392679263182886E-2</v>
      </c>
      <c r="AA205" s="16">
        <f t="shared" si="808"/>
        <v>-3.4606186316790133E-3</v>
      </c>
      <c r="AB205" s="16"/>
      <c r="AC205" s="51">
        <v>44781</v>
      </c>
      <c r="AD205" s="50">
        <v>1056.8499999999999</v>
      </c>
      <c r="AE205" s="50">
        <v>25413.25</v>
      </c>
      <c r="AF205" s="16">
        <f t="shared" ref="AF205:AG205" si="809">AD205/AD206-1</f>
        <v>-1.5116443856584283E-3</v>
      </c>
      <c r="AG205" s="16">
        <f t="shared" si="809"/>
        <v>7.8252120782378309E-3</v>
      </c>
      <c r="AH205" s="16"/>
      <c r="AI205" s="51">
        <v>45140</v>
      </c>
      <c r="AJ205" s="50">
        <v>1146.3499999999999</v>
      </c>
      <c r="AK205" s="50">
        <v>28661.08</v>
      </c>
      <c r="AL205" s="16">
        <f t="shared" ref="AL205:AM205" si="810">AJ205/AJ206-1</f>
        <v>2.448515587424982E-3</v>
      </c>
      <c r="AM205" s="16">
        <f t="shared" si="810"/>
        <v>-1.3491383215212815E-3</v>
      </c>
      <c r="AN205" s="16"/>
      <c r="AO205" s="51">
        <v>45511</v>
      </c>
      <c r="AP205" s="50">
        <v>1473.35</v>
      </c>
      <c r="AQ205" s="50">
        <v>35753.120000000003</v>
      </c>
      <c r="AR205" s="16">
        <f t="shared" ref="AR205:AS205" si="811">AP205/AP206-1</f>
        <v>-6.6075582375351161E-3</v>
      </c>
      <c r="AS205" s="16">
        <f t="shared" si="811"/>
        <v>-7.4298841639887092E-3</v>
      </c>
    </row>
    <row r="206" spans="1:45" ht="15">
      <c r="A206" s="51">
        <v>44053</v>
      </c>
      <c r="B206" s="48">
        <v>5.8599999999999999E-2</v>
      </c>
      <c r="C206" s="16"/>
      <c r="D206" s="51">
        <v>44413</v>
      </c>
      <c r="E206" s="48">
        <v>6.3E-2</v>
      </c>
      <c r="F206" s="16"/>
      <c r="G206" s="51">
        <v>44781</v>
      </c>
      <c r="H206" s="48">
        <v>7.3499999999999996E-2</v>
      </c>
      <c r="I206" s="16"/>
      <c r="J206" s="51">
        <v>45147</v>
      </c>
      <c r="K206" s="48">
        <v>7.17E-2</v>
      </c>
      <c r="L206" s="16"/>
      <c r="M206" s="51">
        <v>45509</v>
      </c>
      <c r="N206" s="48">
        <v>6.8500000000000005E-2</v>
      </c>
      <c r="O206" s="16"/>
      <c r="P206" s="16"/>
      <c r="Q206" s="51">
        <v>44050</v>
      </c>
      <c r="R206" s="49">
        <v>662.35</v>
      </c>
      <c r="S206" s="50">
        <v>15852.65</v>
      </c>
      <c r="T206" s="16">
        <f t="shared" ref="T206:U206" si="812">R206/R207-1</f>
        <v>3.6366391393287678E-3</v>
      </c>
      <c r="U206" s="16">
        <f t="shared" si="812"/>
        <v>1.2398140089509013E-3</v>
      </c>
      <c r="V206" s="16"/>
      <c r="W206" s="51">
        <v>44414</v>
      </c>
      <c r="X206" s="50">
        <v>1264.9000000000001</v>
      </c>
      <c r="Y206" s="50">
        <v>23319.53</v>
      </c>
      <c r="Z206" s="16">
        <f t="shared" ref="Z206:AA206" si="813">X206/X207-1</f>
        <v>1.3663501222102248E-2</v>
      </c>
      <c r="AA206" s="16">
        <f t="shared" si="813"/>
        <v>2.3408483189606422E-3</v>
      </c>
      <c r="AB206" s="16"/>
      <c r="AC206" s="51">
        <v>44778</v>
      </c>
      <c r="AD206" s="50">
        <v>1058.45</v>
      </c>
      <c r="AE206" s="50">
        <v>25215.93</v>
      </c>
      <c r="AF206" s="16">
        <f t="shared" ref="AF206:AG206" si="814">AD206/AD207-1</f>
        <v>2.6998863205760504E-3</v>
      </c>
      <c r="AG206" s="16">
        <f t="shared" si="814"/>
        <v>8.9388455155536839E-4</v>
      </c>
      <c r="AH206" s="16"/>
      <c r="AI206" s="51">
        <v>45139</v>
      </c>
      <c r="AJ206" s="50">
        <v>1143.55</v>
      </c>
      <c r="AK206" s="50">
        <v>28699.8</v>
      </c>
      <c r="AL206" s="16">
        <f t="shared" ref="AL206:AM206" si="815">AJ206/AJ207-1</f>
        <v>2.5007842961502158E-2</v>
      </c>
      <c r="AM206" s="16">
        <f t="shared" si="815"/>
        <v>4.1126923177845498E-3</v>
      </c>
      <c r="AN206" s="16"/>
      <c r="AO206" s="51">
        <v>45510</v>
      </c>
      <c r="AP206" s="50">
        <v>1483.15</v>
      </c>
      <c r="AQ206" s="50">
        <v>36020.75</v>
      </c>
      <c r="AR206" s="16">
        <f t="shared" ref="AR206:AS206" si="816">AP206/AP207-1</f>
        <v>1.8472103004291807E-2</v>
      </c>
      <c r="AS206" s="16">
        <f t="shared" si="816"/>
        <v>1.3123643794043627E-2</v>
      </c>
    </row>
    <row r="207" spans="1:45" ht="15">
      <c r="A207" s="51">
        <v>44050</v>
      </c>
      <c r="B207" s="48">
        <v>5.8400000000000001E-2</v>
      </c>
      <c r="C207" s="16"/>
      <c r="D207" s="51">
        <v>44412</v>
      </c>
      <c r="E207" s="48">
        <v>6.3E-2</v>
      </c>
      <c r="F207" s="16"/>
      <c r="G207" s="47">
        <v>44773</v>
      </c>
      <c r="H207" s="48">
        <v>7.3200000000000001E-2</v>
      </c>
      <c r="I207" s="16"/>
      <c r="J207" s="51">
        <v>45146</v>
      </c>
      <c r="K207" s="48">
        <v>7.1800000000000003E-2</v>
      </c>
      <c r="L207" s="16"/>
      <c r="M207" s="51">
        <v>45506</v>
      </c>
      <c r="N207" s="48">
        <v>6.9099999999999995E-2</v>
      </c>
      <c r="O207" s="16"/>
      <c r="P207" s="16"/>
      <c r="Q207" s="52">
        <v>44049</v>
      </c>
      <c r="R207" s="49">
        <v>659.95</v>
      </c>
      <c r="S207" s="50">
        <v>15833.02</v>
      </c>
      <c r="T207" s="16">
        <f t="shared" ref="T207:U207" si="817">R207/R208-1</f>
        <v>1.7107189643214893E-2</v>
      </c>
      <c r="U207" s="16">
        <f t="shared" si="817"/>
        <v>9.1352984029640094E-3</v>
      </c>
      <c r="V207" s="16"/>
      <c r="W207" s="51">
        <v>44413</v>
      </c>
      <c r="X207" s="50">
        <v>1247.8499999999999</v>
      </c>
      <c r="Y207" s="50">
        <v>23265.07</v>
      </c>
      <c r="Z207" s="16">
        <f t="shared" ref="Z207:AA207" si="818">X207/X208-1</f>
        <v>2.5475613263754804E-2</v>
      </c>
      <c r="AA207" s="16">
        <f t="shared" si="818"/>
        <v>7.9374019251481354E-3</v>
      </c>
      <c r="AB207" s="16"/>
      <c r="AC207" s="51">
        <v>44777</v>
      </c>
      <c r="AD207" s="50">
        <v>1055.5999999999999</v>
      </c>
      <c r="AE207" s="50">
        <v>25193.41</v>
      </c>
      <c r="AF207" s="16">
        <f t="shared" ref="AF207:AG207" si="819">AD207/AD208-1</f>
        <v>2.6119580187111691E-3</v>
      </c>
      <c r="AG207" s="16">
        <f t="shared" si="819"/>
        <v>-3.5591876640228559E-4</v>
      </c>
      <c r="AH207" s="16"/>
      <c r="AI207" s="47">
        <v>45138</v>
      </c>
      <c r="AJ207" s="50">
        <v>1115.6500000000001</v>
      </c>
      <c r="AK207" s="50">
        <v>28582.25</v>
      </c>
      <c r="AL207" s="16">
        <f t="shared" ref="AL207:AM207" si="820">AJ207/AJ208-1</f>
        <v>2.2828329131331815E-2</v>
      </c>
      <c r="AM207" s="16">
        <f t="shared" si="820"/>
        <v>7.0101129961019915E-3</v>
      </c>
      <c r="AN207" s="16"/>
      <c r="AO207" s="51">
        <v>45509</v>
      </c>
      <c r="AP207" s="50">
        <v>1456.25</v>
      </c>
      <c r="AQ207" s="50">
        <v>35554.15</v>
      </c>
      <c r="AR207" s="16">
        <f t="shared" ref="AR207:AS207" si="821">AP207/AP208-1</f>
        <v>-3.5915259847732584E-2</v>
      </c>
      <c r="AS207" s="16">
        <f t="shared" si="821"/>
        <v>-2.5870796942297769E-3</v>
      </c>
    </row>
    <row r="208" spans="1:45" ht="15">
      <c r="A208" s="51">
        <v>44049</v>
      </c>
      <c r="B208" s="48">
        <v>5.8099999999999999E-2</v>
      </c>
      <c r="C208" s="16"/>
      <c r="D208" s="51">
        <v>44411</v>
      </c>
      <c r="E208" s="48">
        <v>6.3100000000000003E-2</v>
      </c>
      <c r="F208" s="16"/>
      <c r="G208" s="47">
        <v>44771</v>
      </c>
      <c r="H208" s="48">
        <v>7.3200000000000001E-2</v>
      </c>
      <c r="I208" s="16"/>
      <c r="J208" s="51">
        <v>45145</v>
      </c>
      <c r="K208" s="48">
        <v>7.1800000000000003E-2</v>
      </c>
      <c r="L208" s="16"/>
      <c r="M208" s="51">
        <v>45505</v>
      </c>
      <c r="N208" s="48">
        <v>6.9199999999999998E-2</v>
      </c>
      <c r="O208" s="16"/>
      <c r="P208" s="16"/>
      <c r="Q208" s="52">
        <v>44048</v>
      </c>
      <c r="R208" s="49">
        <v>648.85</v>
      </c>
      <c r="S208" s="50">
        <v>15689.69</v>
      </c>
      <c r="T208" s="16">
        <f t="shared" ref="T208:U208" si="822">R208/R209-1</f>
        <v>-6.2030938888036902E-3</v>
      </c>
      <c r="U208" s="16">
        <f t="shared" si="822"/>
        <v>8.2606460271716919E-4</v>
      </c>
      <c r="V208" s="16"/>
      <c r="W208" s="51">
        <v>44412</v>
      </c>
      <c r="X208" s="50">
        <v>1216.8499999999999</v>
      </c>
      <c r="Y208" s="50">
        <v>23081.86</v>
      </c>
      <c r="Z208" s="16">
        <f t="shared" ref="Z208:AA208" si="823">X208/X209-1</f>
        <v>-7.5037722768239723E-3</v>
      </c>
      <c r="AA208" s="16">
        <f t="shared" si="823"/>
        <v>1.5461218930402643E-2</v>
      </c>
      <c r="AB208" s="16"/>
      <c r="AC208" s="51">
        <v>44776</v>
      </c>
      <c r="AD208" s="50">
        <v>1052.8499999999999</v>
      </c>
      <c r="AE208" s="50">
        <v>25202.38</v>
      </c>
      <c r="AF208" s="16">
        <f t="shared" ref="AF208:AG208" si="824">AD208/AD209-1</f>
        <v>1.9709443099273471E-2</v>
      </c>
      <c r="AG208" s="16">
        <f t="shared" si="824"/>
        <v>2.568241796623516E-3</v>
      </c>
      <c r="AH208" s="16"/>
      <c r="AI208" s="47">
        <v>45135</v>
      </c>
      <c r="AJ208" s="50">
        <v>1090.75</v>
      </c>
      <c r="AK208" s="50">
        <v>28383.279999999999</v>
      </c>
      <c r="AL208" s="16">
        <f t="shared" ref="AL208:AM208" si="825">AJ208/AJ209-1</f>
        <v>-8.679451058802079E-3</v>
      </c>
      <c r="AM208" s="16">
        <f t="shared" si="825"/>
        <v>-7.2239025023251857E-3</v>
      </c>
      <c r="AN208" s="16"/>
      <c r="AO208" s="51">
        <v>45506</v>
      </c>
      <c r="AP208" s="50">
        <v>1510.5</v>
      </c>
      <c r="AQ208" s="50">
        <v>35646.370000000003</v>
      </c>
      <c r="AR208" s="16">
        <f t="shared" ref="AR208:AS208" si="826">AP208/AP209-1</f>
        <v>-2.1189735614307925E-2</v>
      </c>
      <c r="AS208" s="16">
        <f t="shared" si="826"/>
        <v>-2.6706720011664187E-2</v>
      </c>
    </row>
    <row r="209" spans="1:45" ht="15">
      <c r="A209" s="51">
        <v>44048</v>
      </c>
      <c r="B209" s="48">
        <v>5.7700000000000001E-2</v>
      </c>
      <c r="C209" s="16"/>
      <c r="D209" s="51">
        <v>44410</v>
      </c>
      <c r="E209" s="48">
        <v>6.3100000000000003E-2</v>
      </c>
      <c r="F209" s="16"/>
      <c r="G209" s="47">
        <v>44770</v>
      </c>
      <c r="H209" s="48">
        <v>7.3300000000000004E-2</v>
      </c>
      <c r="I209" s="16"/>
      <c r="J209" s="51">
        <v>45142</v>
      </c>
      <c r="K209" s="48">
        <v>7.2099999999999997E-2</v>
      </c>
      <c r="L209" s="16"/>
      <c r="M209" s="47">
        <v>45504</v>
      </c>
      <c r="N209" s="48">
        <v>6.93E-2</v>
      </c>
      <c r="O209" s="16"/>
      <c r="P209" s="16"/>
      <c r="Q209" s="52">
        <v>44047</v>
      </c>
      <c r="R209" s="49">
        <v>652.9</v>
      </c>
      <c r="S209" s="50">
        <v>15676.74</v>
      </c>
      <c r="T209" s="16">
        <f t="shared" ref="T209:U209" si="827">R209/R210-1</f>
        <v>-3.0658451488382421E-2</v>
      </c>
      <c r="U209" s="16">
        <f t="shared" si="827"/>
        <v>1.8699095066729621E-2</v>
      </c>
      <c r="V209" s="16"/>
      <c r="W209" s="51">
        <v>44411</v>
      </c>
      <c r="X209" s="50">
        <v>1226.05</v>
      </c>
      <c r="Y209" s="50">
        <v>22730.42</v>
      </c>
      <c r="Z209" s="16">
        <f t="shared" ref="Z209:AA209" si="828">X209/X210-1</f>
        <v>1.242774566473992E-2</v>
      </c>
      <c r="AA209" s="16">
        <f t="shared" si="828"/>
        <v>7.8104978837700845E-3</v>
      </c>
      <c r="AB209" s="16"/>
      <c r="AC209" s="51">
        <v>44775</v>
      </c>
      <c r="AD209" s="50">
        <v>1032.5</v>
      </c>
      <c r="AE209" s="50">
        <v>25137.82</v>
      </c>
      <c r="AF209" s="16">
        <f t="shared" ref="AF209:AG209" si="829">AD209/AD210-1</f>
        <v>-1.6291920731707266E-2</v>
      </c>
      <c r="AG209" s="16">
        <f t="shared" si="829"/>
        <v>3.681068998355741E-4</v>
      </c>
      <c r="AH209" s="16"/>
      <c r="AI209" s="47">
        <v>45134</v>
      </c>
      <c r="AJ209" s="50">
        <v>1100.3</v>
      </c>
      <c r="AK209" s="50">
        <v>28589.81</v>
      </c>
      <c r="AL209" s="16">
        <f t="shared" ref="AL209:AM209" si="830">AJ209/AJ210-1</f>
        <v>-3.8241335605961324E-2</v>
      </c>
      <c r="AM209" s="16">
        <f t="shared" si="830"/>
        <v>-1.0074866399037652E-2</v>
      </c>
      <c r="AN209" s="16"/>
      <c r="AO209" s="51">
        <v>45505</v>
      </c>
      <c r="AP209" s="50">
        <v>1543.2</v>
      </c>
      <c r="AQ209" s="50">
        <v>36624.49</v>
      </c>
      <c r="AR209" s="16">
        <f t="shared" ref="AR209:AS209" si="831">AP209/AP210-1</f>
        <v>-6.8858999935645926E-3</v>
      </c>
      <c r="AS209" s="16">
        <f t="shared" si="831"/>
        <v>-1.1476746100508195E-2</v>
      </c>
    </row>
    <row r="210" spans="1:45" ht="15">
      <c r="A210" s="51">
        <v>44047</v>
      </c>
      <c r="B210" s="48">
        <v>5.7700000000000001E-2</v>
      </c>
      <c r="C210" s="16"/>
      <c r="D210" s="47">
        <v>44407</v>
      </c>
      <c r="E210" s="48">
        <v>6.3299999999999995E-2</v>
      </c>
      <c r="F210" s="16"/>
      <c r="G210" s="47">
        <v>44769</v>
      </c>
      <c r="H210" s="48">
        <v>7.3400000000000007E-2</v>
      </c>
      <c r="I210" s="16"/>
      <c r="J210" s="51">
        <v>45141</v>
      </c>
      <c r="K210" s="48">
        <v>7.1900000000000006E-2</v>
      </c>
      <c r="L210" s="16"/>
      <c r="M210" s="47">
        <v>45503</v>
      </c>
      <c r="N210" s="48">
        <v>6.93E-2</v>
      </c>
      <c r="O210" s="16"/>
      <c r="P210" s="16"/>
      <c r="Q210" s="52">
        <v>44046</v>
      </c>
      <c r="R210" s="49">
        <v>673.55</v>
      </c>
      <c r="S210" s="50">
        <v>15388.98</v>
      </c>
      <c r="T210" s="16">
        <f t="shared" ref="T210:U210" si="832">R210/R211-1</f>
        <v>-1.2390029325513252E-2</v>
      </c>
      <c r="U210" s="16">
        <f t="shared" si="832"/>
        <v>-1.638570973849085E-2</v>
      </c>
      <c r="V210" s="16"/>
      <c r="W210" s="51">
        <v>44410</v>
      </c>
      <c r="X210" s="50">
        <v>1211</v>
      </c>
      <c r="Y210" s="50">
        <v>22554.26</v>
      </c>
      <c r="Z210" s="16">
        <f t="shared" ref="Z210:AA210" si="833">X210/X211-1</f>
        <v>1.2815742692959819E-3</v>
      </c>
      <c r="AA210" s="16">
        <f t="shared" si="833"/>
        <v>-9.7801503698125014E-4</v>
      </c>
      <c r="AB210" s="16"/>
      <c r="AC210" s="51">
        <v>44774</v>
      </c>
      <c r="AD210" s="50">
        <v>1049.5999999999999</v>
      </c>
      <c r="AE210" s="50">
        <v>25128.57</v>
      </c>
      <c r="AF210" s="16">
        <f t="shared" ref="AF210:AG210" si="834">AD210/AD211-1</f>
        <v>6.6736581180260046E-4</v>
      </c>
      <c r="AG210" s="16">
        <f t="shared" si="834"/>
        <v>1.06935288605019E-2</v>
      </c>
      <c r="AH210" s="16"/>
      <c r="AI210" s="47">
        <v>45133</v>
      </c>
      <c r="AJ210" s="50">
        <v>1144.05</v>
      </c>
      <c r="AK210" s="50">
        <v>28880.78</v>
      </c>
      <c r="AL210" s="16">
        <f t="shared" ref="AL210:AM210" si="835">AJ210/AJ211-1</f>
        <v>-8.3643928230909825E-3</v>
      </c>
      <c r="AM210" s="16">
        <f t="shared" si="835"/>
        <v>-1.0255814251119988E-3</v>
      </c>
      <c r="AN210" s="16"/>
      <c r="AO210" s="47">
        <v>45504</v>
      </c>
      <c r="AP210" s="50">
        <v>1553.9</v>
      </c>
      <c r="AQ210" s="50">
        <v>37049.699999999997</v>
      </c>
      <c r="AR210" s="16">
        <f t="shared" ref="AR210:AS210" si="836">AP210/AP211-1</f>
        <v>9.6488093304312184E-3</v>
      </c>
      <c r="AS210" s="16">
        <f t="shared" si="836"/>
        <v>2.4410516598174503E-3</v>
      </c>
    </row>
    <row r="211" spans="1:45" ht="15">
      <c r="A211" s="51">
        <v>44046</v>
      </c>
      <c r="B211" s="48">
        <v>5.7799999999999997E-2</v>
      </c>
      <c r="C211" s="16"/>
      <c r="D211" s="47">
        <v>44406</v>
      </c>
      <c r="E211" s="48">
        <v>6.3200000000000006E-2</v>
      </c>
      <c r="F211" s="16"/>
      <c r="G211" s="47">
        <v>44768</v>
      </c>
      <c r="H211" s="48">
        <v>7.3700000000000002E-2</v>
      </c>
      <c r="I211" s="16"/>
      <c r="J211" s="51">
        <v>45140</v>
      </c>
      <c r="K211" s="48">
        <v>7.1599999999999997E-2</v>
      </c>
      <c r="L211" s="16"/>
      <c r="M211" s="47">
        <v>45502</v>
      </c>
      <c r="N211" s="48">
        <v>6.9199999999999998E-2</v>
      </c>
      <c r="O211" s="16"/>
      <c r="P211" s="16"/>
      <c r="Q211" s="47">
        <v>44043</v>
      </c>
      <c r="R211" s="49">
        <v>682</v>
      </c>
      <c r="S211" s="50">
        <v>15645.34</v>
      </c>
      <c r="T211" s="16">
        <f t="shared" ref="T211:U211" si="837">R211/R212-1</f>
        <v>1.0520077048451704E-2</v>
      </c>
      <c r="U211" s="16">
        <f t="shared" si="837"/>
        <v>-2.5870334669563233E-3</v>
      </c>
      <c r="V211" s="16"/>
      <c r="W211" s="47">
        <v>44407</v>
      </c>
      <c r="X211" s="50">
        <v>1209.45</v>
      </c>
      <c r="Y211" s="50">
        <v>22576.34</v>
      </c>
      <c r="Z211" s="16">
        <f t="shared" ref="Z211:AA211" si="838">X211/X212-1</f>
        <v>7.2445134116603915E-2</v>
      </c>
      <c r="AA211" s="16">
        <f t="shared" si="838"/>
        <v>4.6006421052866564E-3</v>
      </c>
      <c r="AB211" s="16"/>
      <c r="AC211" s="47">
        <v>44771</v>
      </c>
      <c r="AD211" s="50">
        <v>1048.9000000000001</v>
      </c>
      <c r="AE211" s="50">
        <v>24862.7</v>
      </c>
      <c r="AF211" s="16">
        <f t="shared" ref="AF211:AG211" si="839">AD211/AD212-1</f>
        <v>1.0500963391136819E-2</v>
      </c>
      <c r="AG211" s="16">
        <f t="shared" si="839"/>
        <v>1.3505966643539757E-2</v>
      </c>
      <c r="AH211" s="16"/>
      <c r="AI211" s="47">
        <v>45132</v>
      </c>
      <c r="AJ211" s="50">
        <v>1153.7</v>
      </c>
      <c r="AK211" s="50">
        <v>28910.43</v>
      </c>
      <c r="AL211" s="16">
        <f t="shared" ref="AL211:AM211" si="840">AJ211/AJ212-1</f>
        <v>-6.9292016354637331E-3</v>
      </c>
      <c r="AM211" s="16">
        <f t="shared" si="840"/>
        <v>5.486095387944534E-3</v>
      </c>
      <c r="AN211" s="16"/>
      <c r="AO211" s="47">
        <v>45503</v>
      </c>
      <c r="AP211" s="50">
        <v>1539.05</v>
      </c>
      <c r="AQ211" s="50">
        <v>36959.480000000003</v>
      </c>
      <c r="AR211" s="16">
        <f t="shared" ref="AR211:AS211" si="841">AP211/AP212-1</f>
        <v>8.9815452191299716E-3</v>
      </c>
      <c r="AS211" s="16">
        <f t="shared" si="841"/>
        <v>3.7753456161748744E-3</v>
      </c>
    </row>
    <row r="212" spans="1:45" ht="15">
      <c r="A212" s="47">
        <v>44043</v>
      </c>
      <c r="B212" s="48">
        <v>5.8400000000000001E-2</v>
      </c>
      <c r="C212" s="16"/>
      <c r="D212" s="47">
        <v>44405</v>
      </c>
      <c r="E212" s="48">
        <v>6.3200000000000006E-2</v>
      </c>
      <c r="F212" s="16"/>
      <c r="G212" s="47">
        <v>44767</v>
      </c>
      <c r="H212" s="48">
        <v>7.3899999999999993E-2</v>
      </c>
      <c r="I212" s="16"/>
      <c r="J212" s="51">
        <v>45139</v>
      </c>
      <c r="K212" s="48">
        <v>7.1499999999999994E-2</v>
      </c>
      <c r="L212" s="16"/>
      <c r="M212" s="47">
        <v>45499</v>
      </c>
      <c r="N212" s="48">
        <v>6.9500000000000006E-2</v>
      </c>
      <c r="O212" s="16"/>
      <c r="P212" s="16"/>
      <c r="Q212" s="47">
        <v>44042</v>
      </c>
      <c r="R212" s="49">
        <v>674.9</v>
      </c>
      <c r="S212" s="50">
        <v>15685.92</v>
      </c>
      <c r="T212" s="16">
        <f t="shared" ref="T212:U212" si="842">R212/R213-1</f>
        <v>-1.4795088030773451E-3</v>
      </c>
      <c r="U212" s="16">
        <f t="shared" si="842"/>
        <v>-8.7378880056420138E-3</v>
      </c>
      <c r="V212" s="16"/>
      <c r="W212" s="47">
        <v>44406</v>
      </c>
      <c r="X212" s="50">
        <v>1127.75</v>
      </c>
      <c r="Y212" s="50">
        <v>22472.95</v>
      </c>
      <c r="Z212" s="16">
        <f t="shared" ref="Z212:AA212" si="843">X212/X213-1</f>
        <v>7.3693613220187082E-3</v>
      </c>
      <c r="AA212" s="16">
        <f t="shared" si="843"/>
        <v>-2.0360765227276367E-3</v>
      </c>
      <c r="AB212" s="16"/>
      <c r="AC212" s="47">
        <v>44770</v>
      </c>
      <c r="AD212" s="50">
        <v>1038</v>
      </c>
      <c r="AE212" s="50">
        <v>24531.38</v>
      </c>
      <c r="AF212" s="16">
        <f t="shared" ref="AF212:AG212" si="844">AD212/AD213-1</f>
        <v>3.0426366208368361E-2</v>
      </c>
      <c r="AG212" s="16">
        <f t="shared" si="844"/>
        <v>1.7291320832647505E-2</v>
      </c>
      <c r="AH212" s="16"/>
      <c r="AI212" s="47">
        <v>45131</v>
      </c>
      <c r="AJ212" s="50">
        <v>1161.75</v>
      </c>
      <c r="AK212" s="50">
        <v>28752.69</v>
      </c>
      <c r="AL212" s="16">
        <f t="shared" ref="AL212:AM212" si="845">AJ212/AJ213-1</f>
        <v>-2.8027609286760069E-2</v>
      </c>
      <c r="AM212" s="16">
        <f t="shared" si="845"/>
        <v>-5.6762447938796257E-4</v>
      </c>
      <c r="AN212" s="16"/>
      <c r="AO212" s="47">
        <v>45502</v>
      </c>
      <c r="AP212" s="50">
        <v>1525.35</v>
      </c>
      <c r="AQ212" s="50">
        <v>36820.47</v>
      </c>
      <c r="AR212" s="16">
        <f t="shared" ref="AR212:AS212" si="846">AP212/AP213-1</f>
        <v>-9.8344693281402495E-3</v>
      </c>
      <c r="AS212" s="16">
        <f t="shared" si="846"/>
        <v>9.2887841397470972E-4</v>
      </c>
    </row>
    <row r="213" spans="1:45" ht="15">
      <c r="A213" s="47">
        <v>44042</v>
      </c>
      <c r="B213" s="48">
        <v>5.8299999999999998E-2</v>
      </c>
      <c r="C213" s="16"/>
      <c r="D213" s="47">
        <v>44404</v>
      </c>
      <c r="E213" s="48">
        <v>6.3E-2</v>
      </c>
      <c r="F213" s="16"/>
      <c r="G213" s="47">
        <v>44764</v>
      </c>
      <c r="H213" s="48">
        <v>7.4200000000000002E-2</v>
      </c>
      <c r="I213" s="16"/>
      <c r="J213" s="47">
        <v>45138</v>
      </c>
      <c r="K213" s="48">
        <v>7.1800000000000003E-2</v>
      </c>
      <c r="L213" s="16"/>
      <c r="M213" s="47">
        <v>45498</v>
      </c>
      <c r="N213" s="48">
        <v>6.9599999999999995E-2</v>
      </c>
      <c r="O213" s="16"/>
      <c r="P213" s="16"/>
      <c r="Q213" s="47">
        <v>44041</v>
      </c>
      <c r="R213" s="49">
        <v>675.9</v>
      </c>
      <c r="S213" s="50">
        <v>15824.19</v>
      </c>
      <c r="T213" s="16">
        <f t="shared" ref="T213:U213" si="847">R213/R214-1</f>
        <v>-1.1119239209948839E-2</v>
      </c>
      <c r="U213" s="16">
        <f t="shared" si="847"/>
        <v>-8.6149971494264843E-3</v>
      </c>
      <c r="V213" s="16"/>
      <c r="W213" s="47">
        <v>44405</v>
      </c>
      <c r="X213" s="50">
        <v>1119.5</v>
      </c>
      <c r="Y213" s="50">
        <v>22518.799999999999</v>
      </c>
      <c r="Z213" s="16">
        <f t="shared" ref="Z213:AA213" si="848">X213/X214-1</f>
        <v>-2.4059882373909103E-3</v>
      </c>
      <c r="AA213" s="16">
        <f t="shared" si="848"/>
        <v>-4.8342355265710291E-3</v>
      </c>
      <c r="AB213" s="16"/>
      <c r="AC213" s="47">
        <v>44769</v>
      </c>
      <c r="AD213" s="50">
        <v>1007.35</v>
      </c>
      <c r="AE213" s="50">
        <v>24114.41</v>
      </c>
      <c r="AF213" s="16">
        <f t="shared" ref="AF213:AG213" si="849">AD213/AD214-1</f>
        <v>7.8539269634818609E-3</v>
      </c>
      <c r="AG213" s="16">
        <f t="shared" si="849"/>
        <v>9.7206043314159718E-3</v>
      </c>
      <c r="AH213" s="16"/>
      <c r="AI213" s="47">
        <v>45128</v>
      </c>
      <c r="AJ213" s="50">
        <v>1195.25</v>
      </c>
      <c r="AK213" s="50">
        <v>28769.02</v>
      </c>
      <c r="AL213" s="16">
        <f t="shared" ref="AL213:AM213" si="850">AJ213/AJ214-1</f>
        <v>-4.5899022151267177E-2</v>
      </c>
      <c r="AM213" s="16">
        <f t="shared" si="850"/>
        <v>-5.8840400424335915E-3</v>
      </c>
      <c r="AN213" s="16"/>
      <c r="AO213" s="47">
        <v>45499</v>
      </c>
      <c r="AP213" s="50">
        <v>1540.5</v>
      </c>
      <c r="AQ213" s="50">
        <v>36786.300000000003</v>
      </c>
      <c r="AR213" s="16">
        <f t="shared" ref="AR213:AS213" si="851">AP213/AP214-1</f>
        <v>6.7969413763806497E-3</v>
      </c>
      <c r="AS213" s="16">
        <f t="shared" si="851"/>
        <v>4.9477388289753677E-5</v>
      </c>
    </row>
    <row r="214" spans="1:45" ht="15">
      <c r="A214" s="47">
        <v>44041</v>
      </c>
      <c r="B214" s="48">
        <v>5.8400000000000001E-2</v>
      </c>
      <c r="C214" s="16"/>
      <c r="D214" s="47">
        <v>44403</v>
      </c>
      <c r="E214" s="48">
        <v>6.3100000000000003E-2</v>
      </c>
      <c r="F214" s="16"/>
      <c r="G214" s="47">
        <v>44763</v>
      </c>
      <c r="H214" s="48">
        <v>7.4499999999999997E-2</v>
      </c>
      <c r="I214" s="16"/>
      <c r="J214" s="47">
        <v>45135</v>
      </c>
      <c r="K214" s="48">
        <v>7.1599999999999997E-2</v>
      </c>
      <c r="L214" s="16"/>
      <c r="M214" s="47">
        <v>45497</v>
      </c>
      <c r="N214" s="48">
        <v>6.9599999999999995E-2</v>
      </c>
      <c r="O214" s="16"/>
      <c r="P214" s="16"/>
      <c r="Q214" s="47">
        <v>44040</v>
      </c>
      <c r="R214" s="49">
        <v>683.5</v>
      </c>
      <c r="S214" s="50">
        <v>15961.7</v>
      </c>
      <c r="T214" s="16">
        <f t="shared" ref="T214:U214" si="852">R214/R215-1</f>
        <v>2.9289963105187944E-2</v>
      </c>
      <c r="U214" s="16">
        <f t="shared" si="852"/>
        <v>1.5156400750728771E-2</v>
      </c>
      <c r="V214" s="16"/>
      <c r="W214" s="47">
        <v>44404</v>
      </c>
      <c r="X214" s="50">
        <v>1122.2</v>
      </c>
      <c r="Y214" s="50">
        <v>22628.19</v>
      </c>
      <c r="Z214" s="16">
        <f t="shared" ref="Z214:AA214" si="853">X214/X215-1</f>
        <v>1.9195571626267061E-3</v>
      </c>
      <c r="AA214" s="16">
        <f t="shared" si="853"/>
        <v>-1.9917656632125746E-3</v>
      </c>
      <c r="AB214" s="16"/>
      <c r="AC214" s="47">
        <v>44768</v>
      </c>
      <c r="AD214" s="49">
        <v>999.5</v>
      </c>
      <c r="AE214" s="50">
        <v>23882.26</v>
      </c>
      <c r="AF214" s="16">
        <f t="shared" ref="AF214:AG214" si="854">AD214/AD215-1</f>
        <v>-1.677241650681216E-2</v>
      </c>
      <c r="AG214" s="16">
        <f t="shared" si="854"/>
        <v>-8.8481398570519065E-3</v>
      </c>
      <c r="AH214" s="16"/>
      <c r="AI214" s="47">
        <v>45127</v>
      </c>
      <c r="AJ214" s="50">
        <v>1252.75</v>
      </c>
      <c r="AK214" s="50">
        <v>28939.3</v>
      </c>
      <c r="AL214" s="16">
        <f t="shared" ref="AL214:AM214" si="855">AJ214/AJ215-1</f>
        <v>6.669613082084469E-3</v>
      </c>
      <c r="AM214" s="16">
        <f t="shared" si="855"/>
        <v>4.9641708063696832E-3</v>
      </c>
      <c r="AN214" s="16"/>
      <c r="AO214" s="47">
        <v>45498</v>
      </c>
      <c r="AP214" s="50">
        <v>1530.1</v>
      </c>
      <c r="AQ214" s="50">
        <v>36784.480000000003</v>
      </c>
      <c r="AR214" s="16">
        <f t="shared" ref="AR214:AS214" si="856">AP214/AP215-1</f>
        <v>-2.8023983315955681E-3</v>
      </c>
      <c r="AS214" s="16">
        <f t="shared" si="856"/>
        <v>1.7568203068377475E-2</v>
      </c>
    </row>
    <row r="215" spans="1:45" ht="15">
      <c r="A215" s="47">
        <v>44040</v>
      </c>
      <c r="B215" s="48">
        <v>5.8500000000000003E-2</v>
      </c>
      <c r="C215" s="16"/>
      <c r="D215" s="47">
        <v>44400</v>
      </c>
      <c r="E215" s="48">
        <v>6.3100000000000003E-2</v>
      </c>
      <c r="F215" s="16"/>
      <c r="G215" s="47">
        <v>44762</v>
      </c>
      <c r="H215" s="48">
        <v>7.4499999999999997E-2</v>
      </c>
      <c r="I215" s="16"/>
      <c r="J215" s="47">
        <v>45134</v>
      </c>
      <c r="K215" s="48">
        <v>7.1199999999999999E-2</v>
      </c>
      <c r="L215" s="16"/>
      <c r="M215" s="47">
        <v>45496</v>
      </c>
      <c r="N215" s="48">
        <v>6.9699999999999998E-2</v>
      </c>
      <c r="O215" s="16"/>
      <c r="P215" s="16"/>
      <c r="Q215" s="47">
        <v>44039</v>
      </c>
      <c r="R215" s="49">
        <v>664.05</v>
      </c>
      <c r="S215" s="50">
        <v>15723.39</v>
      </c>
      <c r="T215" s="16">
        <f t="shared" ref="T215:U215" si="857">R215/R216-1</f>
        <v>1.7311374952125647E-2</v>
      </c>
      <c r="U215" s="16">
        <f t="shared" si="857"/>
        <v>-5.566237018859832E-3</v>
      </c>
      <c r="V215" s="16"/>
      <c r="W215" s="47">
        <v>44403</v>
      </c>
      <c r="X215" s="50">
        <v>1120.05</v>
      </c>
      <c r="Y215" s="50">
        <v>22673.35</v>
      </c>
      <c r="Z215" s="16">
        <f t="shared" ref="Z215:AA215" si="858">X215/X216-1</f>
        <v>-9.0683889232946457E-3</v>
      </c>
      <c r="AA215" s="16">
        <f t="shared" si="858"/>
        <v>2.2942826388228088E-3</v>
      </c>
      <c r="AB215" s="16"/>
      <c r="AC215" s="47">
        <v>44767</v>
      </c>
      <c r="AD215" s="50">
        <v>1016.55</v>
      </c>
      <c r="AE215" s="50">
        <v>24095.46</v>
      </c>
      <c r="AF215" s="16">
        <f t="shared" ref="AF215:AG215" si="859">AD215/AD216-1</f>
        <v>-1.1474692468517511E-2</v>
      </c>
      <c r="AG215" s="16">
        <f t="shared" si="859"/>
        <v>-5.288240043990311E-3</v>
      </c>
      <c r="AH215" s="16"/>
      <c r="AI215" s="47">
        <v>45126</v>
      </c>
      <c r="AJ215" s="50">
        <v>1244.45</v>
      </c>
      <c r="AK215" s="50">
        <v>28796.35</v>
      </c>
      <c r="AL215" s="16">
        <f t="shared" ref="AL215:AM215" si="860">AJ215/AJ216-1</f>
        <v>-1.8047645784872168E-3</v>
      </c>
      <c r="AM215" s="16">
        <f t="shared" si="860"/>
        <v>4.200212199305664E-4</v>
      </c>
      <c r="AN215" s="16"/>
      <c r="AO215" s="47">
        <v>45497</v>
      </c>
      <c r="AP215" s="50">
        <v>1534.4</v>
      </c>
      <c r="AQ215" s="50">
        <v>36149.4</v>
      </c>
      <c r="AR215" s="16">
        <f t="shared" ref="AR215:AS215" si="861">AP215/AP216-1</f>
        <v>2.7144626301168318E-2</v>
      </c>
      <c r="AS215" s="16">
        <f t="shared" si="861"/>
        <v>-3.0309432760067256E-4</v>
      </c>
    </row>
    <row r="216" spans="1:45" ht="15">
      <c r="A216" s="47">
        <v>44039</v>
      </c>
      <c r="B216" s="48">
        <v>5.8599999999999999E-2</v>
      </c>
      <c r="C216" s="16"/>
      <c r="D216" s="47">
        <v>44399</v>
      </c>
      <c r="E216" s="48">
        <v>6.3E-2</v>
      </c>
      <c r="F216" s="16"/>
      <c r="G216" s="47">
        <v>44761</v>
      </c>
      <c r="H216" s="48">
        <v>7.4300000000000005E-2</v>
      </c>
      <c r="I216" s="16"/>
      <c r="J216" s="47">
        <v>45133</v>
      </c>
      <c r="K216" s="48">
        <v>7.0900000000000005E-2</v>
      </c>
      <c r="L216" s="16"/>
      <c r="M216" s="47">
        <v>45495</v>
      </c>
      <c r="N216" s="48">
        <v>6.9699999999999998E-2</v>
      </c>
      <c r="O216" s="16"/>
      <c r="P216" s="16"/>
      <c r="Q216" s="47">
        <v>44036</v>
      </c>
      <c r="R216" s="49">
        <v>652.75</v>
      </c>
      <c r="S216" s="50">
        <v>15811.4</v>
      </c>
      <c r="T216" s="16">
        <f t="shared" ref="T216:U216" si="862">R216/R217-1</f>
        <v>3.2505536222714237E-2</v>
      </c>
      <c r="U216" s="16">
        <f t="shared" si="862"/>
        <v>-1.8988124846920362E-3</v>
      </c>
      <c r="V216" s="16"/>
      <c r="W216" s="47">
        <v>44400</v>
      </c>
      <c r="X216" s="50">
        <v>1130.3</v>
      </c>
      <c r="Y216" s="50">
        <v>22621.45</v>
      </c>
      <c r="Z216" s="16">
        <f t="shared" ref="Z216:AA216" si="863">X216/X217-1</f>
        <v>-1.5803909617310374E-2</v>
      </c>
      <c r="AA216" s="16">
        <f t="shared" si="863"/>
        <v>1.2380503571075341E-2</v>
      </c>
      <c r="AB216" s="16"/>
      <c r="AC216" s="47">
        <v>44764</v>
      </c>
      <c r="AD216" s="50">
        <v>1028.3499999999999</v>
      </c>
      <c r="AE216" s="50">
        <v>24223.56</v>
      </c>
      <c r="AF216" s="16">
        <f t="shared" ref="AF216:AG216" si="864">AD216/AD217-1</f>
        <v>-3.9711366167854978E-3</v>
      </c>
      <c r="AG216" s="16">
        <f t="shared" si="864"/>
        <v>6.8745877180185211E-3</v>
      </c>
      <c r="AH216" s="16"/>
      <c r="AI216" s="47">
        <v>45125</v>
      </c>
      <c r="AJ216" s="50">
        <v>1246.7</v>
      </c>
      <c r="AK216" s="50">
        <v>28784.26</v>
      </c>
      <c r="AL216" s="16">
        <f t="shared" ref="AL216:AM216" si="865">AJ216/AJ217-1</f>
        <v>3.5014287439127934E-3</v>
      </c>
      <c r="AM216" s="16">
        <f t="shared" si="865"/>
        <v>-3.6783679634814215E-3</v>
      </c>
      <c r="AN216" s="16"/>
      <c r="AO216" s="47">
        <v>45496</v>
      </c>
      <c r="AP216" s="50">
        <v>1493.85</v>
      </c>
      <c r="AQ216" s="50">
        <v>36160.36</v>
      </c>
      <c r="AR216" s="16">
        <f t="shared" ref="AR216:AS216" si="866">AP216/AP217-1</f>
        <v>-8.3606447729245303E-4</v>
      </c>
      <c r="AS216" s="16">
        <f t="shared" si="866"/>
        <v>-2.6794448929339243E-3</v>
      </c>
    </row>
    <row r="217" spans="1:45" ht="15">
      <c r="A217" s="47">
        <v>44036</v>
      </c>
      <c r="B217" s="48">
        <v>5.8200000000000002E-2</v>
      </c>
      <c r="C217" s="16"/>
      <c r="D217" s="47">
        <v>44397</v>
      </c>
      <c r="E217" s="48">
        <v>6.2899999999999998E-2</v>
      </c>
      <c r="F217" s="16"/>
      <c r="G217" s="47">
        <v>44760</v>
      </c>
      <c r="H217" s="48">
        <v>7.4399999999999994E-2</v>
      </c>
      <c r="I217" s="16"/>
      <c r="J217" s="47">
        <v>45132</v>
      </c>
      <c r="K217" s="48">
        <v>7.0999999999999994E-2</v>
      </c>
      <c r="L217" s="16"/>
      <c r="M217" s="47">
        <v>45491</v>
      </c>
      <c r="N217" s="48">
        <v>6.9699999999999998E-2</v>
      </c>
      <c r="O217" s="16"/>
      <c r="P217" s="16"/>
      <c r="Q217" s="47">
        <v>44035</v>
      </c>
      <c r="R217" s="49">
        <v>632.20000000000005</v>
      </c>
      <c r="S217" s="50">
        <v>15841.48</v>
      </c>
      <c r="T217" s="16">
        <f t="shared" ref="T217:U217" si="867">R217/R218-1</f>
        <v>2.2811842743892585E-2</v>
      </c>
      <c r="U217" s="16">
        <f t="shared" si="867"/>
        <v>7.5668579635184141E-3</v>
      </c>
      <c r="V217" s="16"/>
      <c r="W217" s="47">
        <v>44399</v>
      </c>
      <c r="X217" s="50">
        <v>1148.45</v>
      </c>
      <c r="Y217" s="50">
        <v>22344.81</v>
      </c>
      <c r="Z217" s="16">
        <f t="shared" ref="Z217:AA217" si="868">X217/X218-1</f>
        <v>5.653173873045092E-2</v>
      </c>
      <c r="AA217" s="16">
        <f t="shared" si="868"/>
        <v>-7.6343302374102251E-3</v>
      </c>
      <c r="AB217" s="16"/>
      <c r="AC217" s="47">
        <v>44763</v>
      </c>
      <c r="AD217" s="50">
        <v>1032.45</v>
      </c>
      <c r="AE217" s="50">
        <v>24058.17</v>
      </c>
      <c r="AF217" s="16">
        <f t="shared" ref="AF217:AG217" si="869">AD217/AD218-1</f>
        <v>-1.3237121284526365E-2</v>
      </c>
      <c r="AG217" s="16">
        <f t="shared" si="869"/>
        <v>5.739337348793061E-3</v>
      </c>
      <c r="AH217" s="16"/>
      <c r="AI217" s="47">
        <v>45124</v>
      </c>
      <c r="AJ217" s="50">
        <v>1242.3499999999999</v>
      </c>
      <c r="AK217" s="50">
        <v>28890.53</v>
      </c>
      <c r="AL217" s="16">
        <f t="shared" ref="AL217:AM217" si="870">AJ217/AJ218-1</f>
        <v>1.172686184290872E-2</v>
      </c>
      <c r="AM217" s="16">
        <f t="shared" si="870"/>
        <v>-1.1671571728099406E-2</v>
      </c>
      <c r="AN217" s="16"/>
      <c r="AO217" s="47">
        <v>45495</v>
      </c>
      <c r="AP217" s="50">
        <v>1495.1</v>
      </c>
      <c r="AQ217" s="50">
        <v>36257.51</v>
      </c>
      <c r="AR217" s="16">
        <f t="shared" ref="AR217:AS217" si="871">AP217/AP218-1</f>
        <v>2.4808904385140718E-3</v>
      </c>
      <c r="AS217" s="16">
        <f t="shared" si="871"/>
        <v>-1.075584318619871E-3</v>
      </c>
    </row>
    <row r="218" spans="1:45" ht="15">
      <c r="A218" s="47">
        <v>44035</v>
      </c>
      <c r="B218" s="48">
        <v>5.8099999999999999E-2</v>
      </c>
      <c r="C218" s="16"/>
      <c r="D218" s="47">
        <v>44396</v>
      </c>
      <c r="E218" s="48">
        <v>6.2799999999999995E-2</v>
      </c>
      <c r="F218" s="16"/>
      <c r="G218" s="47">
        <v>44757</v>
      </c>
      <c r="H218" s="48">
        <v>7.4099999999999999E-2</v>
      </c>
      <c r="I218" s="16"/>
      <c r="J218" s="47">
        <v>45131</v>
      </c>
      <c r="K218" s="48">
        <v>7.0699999999999999E-2</v>
      </c>
      <c r="L218" s="16"/>
      <c r="M218" s="47">
        <v>45489</v>
      </c>
      <c r="N218" s="48">
        <v>6.9699999999999998E-2</v>
      </c>
      <c r="O218" s="16"/>
      <c r="P218" s="16"/>
      <c r="Q218" s="47">
        <v>44034</v>
      </c>
      <c r="R218" s="49">
        <v>618.1</v>
      </c>
      <c r="S218" s="50">
        <v>15722.51</v>
      </c>
      <c r="T218" s="16">
        <f t="shared" ref="T218:U218" si="872">R218/R219-1</f>
        <v>-4.3492268041236404E-3</v>
      </c>
      <c r="U218" s="16">
        <f t="shared" si="872"/>
        <v>-2.657885705839913E-3</v>
      </c>
      <c r="V218" s="16"/>
      <c r="W218" s="47">
        <v>44397</v>
      </c>
      <c r="X218" s="50">
        <v>1087</v>
      </c>
      <c r="Y218" s="50">
        <v>22516.71</v>
      </c>
      <c r="Z218" s="16">
        <f t="shared" ref="Z218:AA218" si="873">X218/X219-1</f>
        <v>-6.6255426090929825E-3</v>
      </c>
      <c r="AA218" s="16">
        <f t="shared" si="873"/>
        <v>-1.0741525051403356E-2</v>
      </c>
      <c r="AB218" s="16"/>
      <c r="AC218" s="47">
        <v>44762</v>
      </c>
      <c r="AD218" s="50">
        <v>1046.3</v>
      </c>
      <c r="AE218" s="50">
        <v>23920.880000000001</v>
      </c>
      <c r="AF218" s="16">
        <f t="shared" ref="AF218:AG218" si="874">AD218/AD219-1</f>
        <v>3.8408098451766515E-2</v>
      </c>
      <c r="AG218" s="16">
        <f t="shared" si="874"/>
        <v>1.1032614323421397E-2</v>
      </c>
      <c r="AH218" s="16"/>
      <c r="AI218" s="47">
        <v>45121</v>
      </c>
      <c r="AJ218" s="50">
        <v>1227.95</v>
      </c>
      <c r="AK218" s="50">
        <v>29231.71</v>
      </c>
      <c r="AL218" s="16">
        <f t="shared" ref="AL218:AM218" si="875">AJ218/AJ219-1</f>
        <v>4.5063829787234111E-2</v>
      </c>
      <c r="AM218" s="16">
        <f t="shared" si="875"/>
        <v>7.5887017412030744E-3</v>
      </c>
      <c r="AN218" s="16"/>
      <c r="AO218" s="47">
        <v>45492</v>
      </c>
      <c r="AP218" s="50">
        <v>1491.4</v>
      </c>
      <c r="AQ218" s="50">
        <v>36296.550000000003</v>
      </c>
      <c r="AR218" s="16">
        <f t="shared" ref="AR218:AS218" si="876">AP218/AP219-1</f>
        <v>-3.1621323290695336E-2</v>
      </c>
      <c r="AS218" s="16">
        <f t="shared" si="876"/>
        <v>-8.8222502381030132E-4</v>
      </c>
    </row>
    <row r="219" spans="1:45" ht="15">
      <c r="A219" s="47">
        <v>44034</v>
      </c>
      <c r="B219" s="48">
        <v>5.8200000000000002E-2</v>
      </c>
      <c r="C219" s="16"/>
      <c r="D219" s="47">
        <v>44393</v>
      </c>
      <c r="E219" s="48">
        <v>6.2799999999999995E-2</v>
      </c>
      <c r="F219" s="16"/>
      <c r="G219" s="47">
        <v>44756</v>
      </c>
      <c r="H219" s="48">
        <v>7.3899999999999993E-2</v>
      </c>
      <c r="I219" s="16"/>
      <c r="J219" s="47">
        <v>45128</v>
      </c>
      <c r="K219" s="48">
        <v>7.0999999999999994E-2</v>
      </c>
      <c r="L219" s="16"/>
      <c r="M219" s="47">
        <v>45488</v>
      </c>
      <c r="N219" s="48">
        <v>6.9800000000000001E-2</v>
      </c>
      <c r="O219" s="16"/>
      <c r="P219" s="16"/>
      <c r="Q219" s="47">
        <v>44033</v>
      </c>
      <c r="R219" s="49">
        <v>620.79999999999995</v>
      </c>
      <c r="S219" s="50">
        <v>15764.41</v>
      </c>
      <c r="T219" s="16">
        <f t="shared" ref="T219:U219" si="877">R219/R220-1</f>
        <v>-4.1706769329483695E-3</v>
      </c>
      <c r="U219" s="16">
        <f t="shared" si="877"/>
        <v>1.2709937198713162E-2</v>
      </c>
      <c r="V219" s="16"/>
      <c r="W219" s="47">
        <v>44396</v>
      </c>
      <c r="X219" s="50">
        <v>1094.25</v>
      </c>
      <c r="Y219" s="50">
        <v>22761.200000000001</v>
      </c>
      <c r="Z219" s="16">
        <f t="shared" ref="Z219:AA219" si="878">X219/X220-1</f>
        <v>-7.9329102447869282E-3</v>
      </c>
      <c r="AA219" s="16">
        <f t="shared" si="878"/>
        <v>-5.0082724359579167E-5</v>
      </c>
      <c r="AB219" s="16"/>
      <c r="AC219" s="47">
        <v>44761</v>
      </c>
      <c r="AD219" s="50">
        <v>1007.6</v>
      </c>
      <c r="AE219" s="50">
        <v>23659.85</v>
      </c>
      <c r="AF219" s="16">
        <f t="shared" ref="AF219:AG219" si="879">AD219/AD220-1</f>
        <v>-1.0905125408942062E-3</v>
      </c>
      <c r="AG219" s="16">
        <f t="shared" si="879"/>
        <v>3.9602792436048695E-3</v>
      </c>
      <c r="AH219" s="16"/>
      <c r="AI219" s="47">
        <v>45120</v>
      </c>
      <c r="AJ219" s="50">
        <v>1175</v>
      </c>
      <c r="AK219" s="50">
        <v>29011.55</v>
      </c>
      <c r="AL219" s="16">
        <f t="shared" ref="AL219:AM219" si="880">AJ219/AJ220-1</f>
        <v>1.3498943373442041E-2</v>
      </c>
      <c r="AM219" s="16">
        <f t="shared" si="880"/>
        <v>4.2473134098450771E-3</v>
      </c>
      <c r="AN219" s="16"/>
      <c r="AO219" s="47">
        <v>45491</v>
      </c>
      <c r="AP219" s="50">
        <v>1540.1</v>
      </c>
      <c r="AQ219" s="50">
        <v>36328.6</v>
      </c>
      <c r="AR219" s="16">
        <f t="shared" ref="AR219:AS219" si="881">AP219/AP220-1</f>
        <v>1.603113867264816E-2</v>
      </c>
      <c r="AS219" s="16">
        <f t="shared" si="881"/>
        <v>-1.076491541074176E-2</v>
      </c>
    </row>
    <row r="220" spans="1:45" ht="15">
      <c r="A220" s="47">
        <v>44033</v>
      </c>
      <c r="B220" s="48">
        <v>5.8299999999999998E-2</v>
      </c>
      <c r="C220" s="16"/>
      <c r="D220" s="47">
        <v>44392</v>
      </c>
      <c r="E220" s="48">
        <v>6.2600000000000003E-2</v>
      </c>
      <c r="F220" s="16"/>
      <c r="G220" s="47">
        <v>44755</v>
      </c>
      <c r="H220" s="48">
        <v>7.3599999999999999E-2</v>
      </c>
      <c r="I220" s="16"/>
      <c r="J220" s="47">
        <v>45127</v>
      </c>
      <c r="K220" s="48">
        <v>7.0800000000000002E-2</v>
      </c>
      <c r="L220" s="16"/>
      <c r="M220" s="51">
        <v>45485</v>
      </c>
      <c r="N220" s="48">
        <v>6.9900000000000004E-2</v>
      </c>
      <c r="O220" s="16"/>
      <c r="P220" s="16"/>
      <c r="Q220" s="54">
        <v>44032</v>
      </c>
      <c r="R220" s="49">
        <v>623.4</v>
      </c>
      <c r="S220" s="50">
        <v>15566.56</v>
      </c>
      <c r="T220" s="16">
        <f t="shared" ref="T220:U220" si="882">R220/R221-1</f>
        <v>3.9086590549212374E-2</v>
      </c>
      <c r="U220" s="16">
        <f t="shared" si="882"/>
        <v>1.1049307502253747E-2</v>
      </c>
      <c r="V220" s="16"/>
      <c r="W220" s="47">
        <v>44393</v>
      </c>
      <c r="X220" s="50">
        <v>1103</v>
      </c>
      <c r="Y220" s="50">
        <v>22762.34</v>
      </c>
      <c r="Z220" s="16">
        <f t="shared" ref="Z220:AA220" si="883">X220/X221-1</f>
        <v>-8.2273074675179858E-3</v>
      </c>
      <c r="AA220" s="16">
        <f t="shared" si="883"/>
        <v>4.6590910094022053E-3</v>
      </c>
      <c r="AB220" s="16"/>
      <c r="AC220" s="47">
        <v>44760</v>
      </c>
      <c r="AD220" s="50">
        <v>1008.7</v>
      </c>
      <c r="AE220" s="50">
        <v>23566.52</v>
      </c>
      <c r="AF220" s="16">
        <f t="shared" ref="AF220:AG220" si="884">AD220/AD221-1</f>
        <v>3.5360533743905576E-2</v>
      </c>
      <c r="AG220" s="16">
        <f t="shared" si="884"/>
        <v>1.4289083656559232E-2</v>
      </c>
      <c r="AH220" s="16"/>
      <c r="AI220" s="51">
        <v>45119</v>
      </c>
      <c r="AJ220" s="50">
        <v>1159.3499999999999</v>
      </c>
      <c r="AK220" s="50">
        <v>28888.85</v>
      </c>
      <c r="AL220" s="16">
        <f t="shared" ref="AL220:AM220" si="885">AJ220/AJ221-1</f>
        <v>-2.1517407582734016E-3</v>
      </c>
      <c r="AM220" s="16">
        <f t="shared" si="885"/>
        <v>1.9182521466318825E-3</v>
      </c>
      <c r="AN220" s="16"/>
      <c r="AO220" s="47">
        <v>45489</v>
      </c>
      <c r="AP220" s="50">
        <v>1515.8</v>
      </c>
      <c r="AQ220" s="50">
        <v>36723.93</v>
      </c>
      <c r="AR220" s="16">
        <f t="shared" ref="AR220:AS220" si="886">AP220/AP221-1</f>
        <v>1.1308669980318209E-2</v>
      </c>
      <c r="AS220" s="16">
        <f t="shared" si="886"/>
        <v>7.6316084793333072E-3</v>
      </c>
    </row>
    <row r="221" spans="1:45" ht="15">
      <c r="A221" s="47">
        <v>44032</v>
      </c>
      <c r="B221" s="48">
        <v>5.8000000000000003E-2</v>
      </c>
      <c r="C221" s="16"/>
      <c r="D221" s="47">
        <v>44391</v>
      </c>
      <c r="E221" s="48">
        <v>6.2600000000000003E-2</v>
      </c>
      <c r="F221" s="16"/>
      <c r="G221" s="51">
        <v>44754</v>
      </c>
      <c r="H221" s="48">
        <v>7.3899999999999993E-2</v>
      </c>
      <c r="I221" s="16"/>
      <c r="J221" s="47">
        <v>45126</v>
      </c>
      <c r="K221" s="48">
        <v>7.0699999999999999E-2</v>
      </c>
      <c r="L221" s="16"/>
      <c r="M221" s="51">
        <v>45484</v>
      </c>
      <c r="N221" s="48">
        <v>6.9800000000000001E-2</v>
      </c>
      <c r="O221" s="16"/>
      <c r="P221" s="16"/>
      <c r="Q221" s="54">
        <v>44029</v>
      </c>
      <c r="R221" s="49">
        <v>599.95000000000005</v>
      </c>
      <c r="S221" s="50">
        <v>15396.44</v>
      </c>
      <c r="T221" s="16">
        <f t="shared" ref="T221:U221" si="887">R221/R222-1</f>
        <v>1.0845986984817646E-3</v>
      </c>
      <c r="U221" s="16">
        <f t="shared" si="887"/>
        <v>1.506132322080922E-2</v>
      </c>
      <c r="V221" s="16"/>
      <c r="W221" s="47">
        <v>44392</v>
      </c>
      <c r="X221" s="50">
        <v>1112.1500000000001</v>
      </c>
      <c r="Y221" s="50">
        <v>22656.78</v>
      </c>
      <c r="Z221" s="16">
        <f t="shared" ref="Z221:AA221" si="888">X221/X222-1</f>
        <v>3.1296364985163194E-2</v>
      </c>
      <c r="AA221" s="16">
        <f t="shared" si="888"/>
        <v>2.7124882000786332E-3</v>
      </c>
      <c r="AB221" s="16"/>
      <c r="AC221" s="47">
        <v>44757</v>
      </c>
      <c r="AD221" s="49">
        <v>974.25</v>
      </c>
      <c r="AE221" s="50">
        <v>23234.52</v>
      </c>
      <c r="AF221" s="16">
        <f t="shared" ref="AF221:AG221" si="889">AD221/AD222-1</f>
        <v>-1.537279016141424E-3</v>
      </c>
      <c r="AG221" s="16">
        <f t="shared" si="889"/>
        <v>6.9340553996355414E-3</v>
      </c>
      <c r="AH221" s="16"/>
      <c r="AI221" s="51">
        <v>45118</v>
      </c>
      <c r="AJ221" s="50">
        <v>1161.8499999999999</v>
      </c>
      <c r="AK221" s="50">
        <v>28833.54</v>
      </c>
      <c r="AL221" s="16">
        <f t="shared" ref="AL221:AM221" si="890">AJ221/AJ222-1</f>
        <v>1.2858512771336317E-2</v>
      </c>
      <c r="AM221" s="16">
        <f t="shared" si="890"/>
        <v>7.5105001642290503E-3</v>
      </c>
      <c r="AN221" s="16"/>
      <c r="AO221" s="47">
        <v>45488</v>
      </c>
      <c r="AP221" s="50">
        <v>1498.85</v>
      </c>
      <c r="AQ221" s="50">
        <v>36445.79</v>
      </c>
      <c r="AR221" s="16">
        <f t="shared" ref="AR221:AS221" si="891">AP221/AP222-1</f>
        <v>-4.3179327066794615E-3</v>
      </c>
      <c r="AS221" s="16">
        <f t="shared" si="891"/>
        <v>1.1518009353952419E-3</v>
      </c>
    </row>
    <row r="222" spans="1:45" ht="15">
      <c r="A222" s="47">
        <v>44029</v>
      </c>
      <c r="B222" s="48">
        <v>5.8099999999999999E-2</v>
      </c>
      <c r="C222" s="16"/>
      <c r="D222" s="47">
        <v>44390</v>
      </c>
      <c r="E222" s="48">
        <v>6.2700000000000006E-2</v>
      </c>
      <c r="F222" s="16"/>
      <c r="G222" s="51">
        <v>44753</v>
      </c>
      <c r="H222" s="48">
        <v>7.4300000000000005E-2</v>
      </c>
      <c r="I222" s="16"/>
      <c r="J222" s="47">
        <v>45125</v>
      </c>
      <c r="K222" s="48">
        <v>7.0599999999999996E-2</v>
      </c>
      <c r="L222" s="16"/>
      <c r="M222" s="51">
        <v>45483</v>
      </c>
      <c r="N222" s="48">
        <v>6.9800000000000001E-2</v>
      </c>
      <c r="O222" s="16"/>
      <c r="P222" s="16"/>
      <c r="Q222" s="54">
        <v>44028</v>
      </c>
      <c r="R222" s="49">
        <v>599.29999999999995</v>
      </c>
      <c r="S222" s="50">
        <v>15167.99</v>
      </c>
      <c r="T222" s="16">
        <f t="shared" ref="T222:U222" si="892">R222/R223-1</f>
        <v>-2.5369978858351017E-2</v>
      </c>
      <c r="U222" s="16">
        <f t="shared" si="892"/>
        <v>1.1636360240957488E-2</v>
      </c>
      <c r="V222" s="16"/>
      <c r="W222" s="47">
        <v>44391</v>
      </c>
      <c r="X222" s="50">
        <v>1078.4000000000001</v>
      </c>
      <c r="Y222" s="50">
        <v>22595.49</v>
      </c>
      <c r="Z222" s="16">
        <f t="shared" ref="Z222:AA222" si="893">X222/X223-1</f>
        <v>2.6949814303399933E-2</v>
      </c>
      <c r="AA222" s="16">
        <f t="shared" si="893"/>
        <v>7.6300849209276489E-3</v>
      </c>
      <c r="AB222" s="16"/>
      <c r="AC222" s="47">
        <v>44756</v>
      </c>
      <c r="AD222" s="49">
        <v>975.75</v>
      </c>
      <c r="AE222" s="50">
        <v>23074.52</v>
      </c>
      <c r="AF222" s="16">
        <f t="shared" ref="AF222:AG222" si="894">AD222/AD223-1</f>
        <v>-1.444371496389063E-2</v>
      </c>
      <c r="AG222" s="16">
        <f t="shared" si="894"/>
        <v>-1.4259458088661248E-3</v>
      </c>
      <c r="AH222" s="16"/>
      <c r="AI222" s="51">
        <v>45117</v>
      </c>
      <c r="AJ222" s="50">
        <v>1147.0999999999999</v>
      </c>
      <c r="AK222" s="50">
        <v>28618.6</v>
      </c>
      <c r="AL222" s="16">
        <f t="shared" ref="AL222:AM222" si="895">AJ222/AJ223-1</f>
        <v>-7.0547500541009445E-3</v>
      </c>
      <c r="AM222" s="16">
        <f t="shared" si="895"/>
        <v>7.9342605936889576E-3</v>
      </c>
      <c r="AN222" s="16"/>
      <c r="AO222" s="51">
        <v>45485</v>
      </c>
      <c r="AP222" s="50">
        <v>1505.35</v>
      </c>
      <c r="AQ222" s="50">
        <v>36403.86</v>
      </c>
      <c r="AR222" s="16">
        <f t="shared" ref="AR222:AS222" si="896">AP222/AP223-1</f>
        <v>3.194515852613522E-2</v>
      </c>
      <c r="AS222" s="16">
        <f t="shared" si="896"/>
        <v>3.4507880250296274E-3</v>
      </c>
    </row>
    <row r="223" spans="1:45" ht="15">
      <c r="A223" s="47">
        <v>44028</v>
      </c>
      <c r="B223" s="48">
        <v>5.8200000000000002E-2</v>
      </c>
      <c r="C223" s="16"/>
      <c r="D223" s="51">
        <v>44389</v>
      </c>
      <c r="E223" s="48">
        <v>6.2899999999999998E-2</v>
      </c>
      <c r="F223" s="16"/>
      <c r="G223" s="51">
        <v>44750</v>
      </c>
      <c r="H223" s="48">
        <v>7.4099999999999999E-2</v>
      </c>
      <c r="I223" s="16"/>
      <c r="J223" s="47">
        <v>45124</v>
      </c>
      <c r="K223" s="48">
        <v>7.0900000000000005E-2</v>
      </c>
      <c r="L223" s="16"/>
      <c r="M223" s="51">
        <v>45482</v>
      </c>
      <c r="N223" s="48">
        <v>7.0300000000000001E-2</v>
      </c>
      <c r="O223" s="16"/>
      <c r="P223" s="16"/>
      <c r="Q223" s="54">
        <v>44027</v>
      </c>
      <c r="R223" s="49">
        <v>614.9</v>
      </c>
      <c r="S223" s="50">
        <v>14993.52</v>
      </c>
      <c r="T223" s="16">
        <f t="shared" ref="T223:U223" si="897">R223/R224-1</f>
        <v>2.78311742582531E-2</v>
      </c>
      <c r="U223" s="16">
        <f t="shared" si="897"/>
        <v>1.0208148759900393E-3</v>
      </c>
      <c r="V223" s="16"/>
      <c r="W223" s="47">
        <v>44390</v>
      </c>
      <c r="X223" s="50">
        <v>1050.0999999999999</v>
      </c>
      <c r="Y223" s="50">
        <v>22424.39</v>
      </c>
      <c r="Z223" s="16">
        <f t="shared" ref="Z223:AA223" si="898">X223/X224-1</f>
        <v>-6.0577378135353577E-3</v>
      </c>
      <c r="AA223" s="16">
        <f t="shared" si="898"/>
        <v>1.7974733679571031E-4</v>
      </c>
      <c r="AB223" s="16"/>
      <c r="AC223" s="47">
        <v>44755</v>
      </c>
      <c r="AD223" s="49">
        <v>990.05</v>
      </c>
      <c r="AE223" s="50">
        <v>23107.47</v>
      </c>
      <c r="AF223" s="16">
        <f t="shared" ref="AF223:AG223" si="899">AD223/AD224-1</f>
        <v>-7.6676355617921743E-3</v>
      </c>
      <c r="AG223" s="16">
        <f t="shared" si="899"/>
        <v>-5.6983894078718178E-3</v>
      </c>
      <c r="AH223" s="16"/>
      <c r="AI223" s="51">
        <v>45114</v>
      </c>
      <c r="AJ223" s="50">
        <v>1155.25</v>
      </c>
      <c r="AK223" s="50">
        <v>28393.32</v>
      </c>
      <c r="AL223" s="16">
        <f t="shared" ref="AL223:AM223" si="900">AJ223/AJ224-1</f>
        <v>-1.9728468392023801E-2</v>
      </c>
      <c r="AM223" s="16">
        <f t="shared" si="900"/>
        <v>1.5676104311703742E-3</v>
      </c>
      <c r="AN223" s="16"/>
      <c r="AO223" s="51">
        <v>45484</v>
      </c>
      <c r="AP223" s="50">
        <v>1458.75</v>
      </c>
      <c r="AQ223" s="50">
        <v>36278.67</v>
      </c>
      <c r="AR223" s="16">
        <f t="shared" ref="AR223:AS223" si="901">AP223/AP224-1</f>
        <v>-3.0072104705601843E-3</v>
      </c>
      <c r="AS223" s="16">
        <f t="shared" si="901"/>
        <v>7.7338351817000106E-3</v>
      </c>
    </row>
    <row r="224" spans="1:45" ht="15">
      <c r="A224" s="47">
        <v>44027</v>
      </c>
      <c r="B224" s="48">
        <v>5.8200000000000002E-2</v>
      </c>
      <c r="C224" s="16"/>
      <c r="D224" s="51">
        <v>44386</v>
      </c>
      <c r="E224" s="48">
        <v>6.2600000000000003E-2</v>
      </c>
      <c r="F224" s="16"/>
      <c r="G224" s="51">
        <v>44749</v>
      </c>
      <c r="H224" s="48">
        <v>7.3599999999999999E-2</v>
      </c>
      <c r="I224" s="16"/>
      <c r="J224" s="47">
        <v>45121</v>
      </c>
      <c r="K224" s="48">
        <v>7.0900000000000005E-2</v>
      </c>
      <c r="L224" s="16"/>
      <c r="M224" s="51">
        <v>45481</v>
      </c>
      <c r="N224" s="48">
        <v>7.0400000000000004E-2</v>
      </c>
      <c r="O224" s="16"/>
      <c r="P224" s="16"/>
      <c r="Q224" s="54">
        <v>44026</v>
      </c>
      <c r="R224" s="49">
        <v>598.25</v>
      </c>
      <c r="S224" s="50">
        <v>14978.23</v>
      </c>
      <c r="T224" s="16">
        <f t="shared" ref="T224:U224" si="902">R224/R225-1</f>
        <v>-3.0828195300783845E-3</v>
      </c>
      <c r="U224" s="16">
        <f t="shared" si="902"/>
        <v>-1.8084330169810259E-2</v>
      </c>
      <c r="V224" s="16"/>
      <c r="W224" s="51">
        <v>44389</v>
      </c>
      <c r="X224" s="50">
        <v>1056.5</v>
      </c>
      <c r="Y224" s="50">
        <v>22420.36</v>
      </c>
      <c r="Z224" s="16">
        <f t="shared" ref="Z224:AA224" si="903">X224/X225-1</f>
        <v>4.659566375047719E-3</v>
      </c>
      <c r="AA224" s="16">
        <f t="shared" si="903"/>
        <v>-2.3783239246037979E-3</v>
      </c>
      <c r="AB224" s="16"/>
      <c r="AC224" s="51">
        <v>44754</v>
      </c>
      <c r="AD224" s="49">
        <v>997.7</v>
      </c>
      <c r="AE224" s="50">
        <v>23239.9</v>
      </c>
      <c r="AF224" s="16">
        <f t="shared" ref="AF224:AG224" si="904">AD224/AD225-1</f>
        <v>-9.7270471464019348E-3</v>
      </c>
      <c r="AG224" s="16">
        <f t="shared" si="904"/>
        <v>-9.725525755343134E-3</v>
      </c>
      <c r="AH224" s="16"/>
      <c r="AI224" s="51">
        <v>45113</v>
      </c>
      <c r="AJ224" s="50">
        <v>1178.5</v>
      </c>
      <c r="AK224" s="50">
        <v>28348.880000000001</v>
      </c>
      <c r="AL224" s="16">
        <f t="shared" ref="AL224:AM224" si="905">AJ224/AJ225-1</f>
        <v>2.6374000340307902E-3</v>
      </c>
      <c r="AM224" s="16">
        <f t="shared" si="905"/>
        <v>-2.8329807642926141E-3</v>
      </c>
      <c r="AN224" s="16"/>
      <c r="AO224" s="51">
        <v>45483</v>
      </c>
      <c r="AP224" s="50">
        <v>1463.15</v>
      </c>
      <c r="AQ224" s="50">
        <v>36000.25</v>
      </c>
      <c r="AR224" s="16">
        <f t="shared" ref="AR224:AS224" si="906">AP224/AP225-1</f>
        <v>-2.6583961010189228E-3</v>
      </c>
      <c r="AS224" s="16">
        <f t="shared" si="906"/>
        <v>-3.4904236880084483E-4</v>
      </c>
    </row>
    <row r="225" spans="1:45" ht="15">
      <c r="A225" s="47">
        <v>44026</v>
      </c>
      <c r="B225" s="48">
        <v>5.8299999999999998E-2</v>
      </c>
      <c r="C225" s="16"/>
      <c r="D225" s="51">
        <v>44385</v>
      </c>
      <c r="E225" s="48">
        <v>6.2399999999999997E-2</v>
      </c>
      <c r="F225" s="16"/>
      <c r="G225" s="51">
        <v>44748</v>
      </c>
      <c r="H225" s="48">
        <v>7.2999999999999995E-2</v>
      </c>
      <c r="I225" s="16"/>
      <c r="J225" s="47">
        <v>45120</v>
      </c>
      <c r="K225" s="48">
        <v>7.0800000000000002E-2</v>
      </c>
      <c r="L225" s="16"/>
      <c r="M225" s="51">
        <v>45478</v>
      </c>
      <c r="N225" s="48">
        <v>7.0400000000000004E-2</v>
      </c>
      <c r="O225" s="16"/>
      <c r="P225" s="16"/>
      <c r="Q225" s="54">
        <v>44025</v>
      </c>
      <c r="R225" s="49">
        <v>600.1</v>
      </c>
      <c r="S225" s="50">
        <v>15254.09</v>
      </c>
      <c r="T225" s="16">
        <f t="shared" ref="T225:U225" si="907">R225/R226-1</f>
        <v>5.5306427503736932E-2</v>
      </c>
      <c r="U225" s="16">
        <f t="shared" si="907"/>
        <v>3.2859492782553179E-3</v>
      </c>
      <c r="V225" s="16"/>
      <c r="W225" s="51">
        <v>44386</v>
      </c>
      <c r="X225" s="50">
        <v>1051.5999999999999</v>
      </c>
      <c r="Y225" s="50">
        <v>22473.81</v>
      </c>
      <c r="Z225" s="16">
        <f t="shared" ref="Z225:AA225" si="908">X225/X226-1</f>
        <v>-7.7373089262124939E-3</v>
      </c>
      <c r="AA225" s="16">
        <f t="shared" si="908"/>
        <v>-9.2511525917774451E-3</v>
      </c>
      <c r="AB225" s="16"/>
      <c r="AC225" s="51">
        <v>44753</v>
      </c>
      <c r="AD225" s="50">
        <v>1007.5</v>
      </c>
      <c r="AE225" s="50">
        <v>23468.14</v>
      </c>
      <c r="AF225" s="16">
        <f t="shared" ref="AF225:AG225" si="909">AD225/AD226-1</f>
        <v>-1.8270401948842885E-2</v>
      </c>
      <c r="AG225" s="16">
        <f t="shared" si="909"/>
        <v>-2.3302764253141373E-4</v>
      </c>
      <c r="AH225" s="16"/>
      <c r="AI225" s="51">
        <v>45112</v>
      </c>
      <c r="AJ225" s="50">
        <v>1175.4000000000001</v>
      </c>
      <c r="AK225" s="50">
        <v>28429.42</v>
      </c>
      <c r="AL225" s="16">
        <f t="shared" ref="AL225:AM225" si="910">AJ225/AJ226-1</f>
        <v>2.3733832687366618E-2</v>
      </c>
      <c r="AM225" s="16">
        <f t="shared" si="910"/>
        <v>4.4077547654697291E-3</v>
      </c>
      <c r="AN225" s="16"/>
      <c r="AO225" s="51">
        <v>45482</v>
      </c>
      <c r="AP225" s="50">
        <v>1467.05</v>
      </c>
      <c r="AQ225" s="50">
        <v>36012.82</v>
      </c>
      <c r="AR225" s="16">
        <f t="shared" ref="AR225:AS225" si="911">AP225/AP226-1</f>
        <v>2.0453383330498731E-4</v>
      </c>
      <c r="AS225" s="16">
        <f t="shared" si="911"/>
        <v>-4.4521086629659701E-3</v>
      </c>
    </row>
    <row r="226" spans="1:45" ht="15">
      <c r="A226" s="47">
        <v>44025</v>
      </c>
      <c r="B226" s="48">
        <v>5.79E-2</v>
      </c>
      <c r="C226" s="16"/>
      <c r="D226" s="51">
        <v>44384</v>
      </c>
      <c r="E226" s="48">
        <v>6.2799999999999995E-2</v>
      </c>
      <c r="F226" s="16"/>
      <c r="G226" s="51">
        <v>44747</v>
      </c>
      <c r="H226" s="48">
        <v>7.3899999999999993E-2</v>
      </c>
      <c r="I226" s="16"/>
      <c r="J226" s="51">
        <v>45119</v>
      </c>
      <c r="K226" s="48">
        <v>7.1099999999999997E-2</v>
      </c>
      <c r="L226" s="16"/>
      <c r="M226" s="51">
        <v>45477</v>
      </c>
      <c r="N226" s="48">
        <v>7.0400000000000004E-2</v>
      </c>
      <c r="O226" s="16"/>
      <c r="P226" s="16"/>
      <c r="Q226" s="51">
        <v>44022</v>
      </c>
      <c r="R226" s="49">
        <v>568.65</v>
      </c>
      <c r="S226" s="50">
        <v>15204.13</v>
      </c>
      <c r="T226" s="16">
        <f t="shared" ref="T226:U226" si="912">R226/R227-1</f>
        <v>-1.3958730709207723E-2</v>
      </c>
      <c r="U226" s="16">
        <f t="shared" si="912"/>
        <v>-4.1956512199547991E-3</v>
      </c>
      <c r="V226" s="16"/>
      <c r="W226" s="51">
        <v>44385</v>
      </c>
      <c r="X226" s="50">
        <v>1059.8</v>
      </c>
      <c r="Y226" s="50">
        <v>22683.66</v>
      </c>
      <c r="Z226" s="16">
        <f t="shared" ref="Z226:AA226" si="913">X226/X227-1</f>
        <v>1.3241550743343211E-2</v>
      </c>
      <c r="AA226" s="16">
        <f t="shared" si="913"/>
        <v>3.8825576110388393E-3</v>
      </c>
      <c r="AB226" s="16"/>
      <c r="AC226" s="51">
        <v>44750</v>
      </c>
      <c r="AD226" s="50">
        <v>1026.25</v>
      </c>
      <c r="AE226" s="50">
        <v>23473.61</v>
      </c>
      <c r="AF226" s="16">
        <f t="shared" ref="AF226:AG226" si="914">AD226/AD227-1</f>
        <v>5.2404740914879788E-3</v>
      </c>
      <c r="AG226" s="16">
        <f t="shared" si="914"/>
        <v>5.48282953411805E-3</v>
      </c>
      <c r="AH226" s="16"/>
      <c r="AI226" s="51">
        <v>45111</v>
      </c>
      <c r="AJ226" s="50">
        <v>1148.1500000000001</v>
      </c>
      <c r="AK226" s="50">
        <v>28304.66</v>
      </c>
      <c r="AL226" s="16">
        <f t="shared" ref="AL226:AM226" si="915">AJ226/AJ227-1</f>
        <v>2.3899763677710073E-2</v>
      </c>
      <c r="AM226" s="16">
        <f t="shared" si="915"/>
        <v>1.24622250961548E-3</v>
      </c>
      <c r="AN226" s="16"/>
      <c r="AO226" s="51">
        <v>45481</v>
      </c>
      <c r="AP226" s="50">
        <v>1466.75</v>
      </c>
      <c r="AQ226" s="50">
        <v>36173.870000000003</v>
      </c>
      <c r="AR226" s="16">
        <f t="shared" ref="AR226:AS226" si="916">AP226/AP227-1</f>
        <v>3.8325976114703675E-3</v>
      </c>
      <c r="AS226" s="16">
        <f t="shared" si="916"/>
        <v>4.6974370596761794E-3</v>
      </c>
    </row>
    <row r="227" spans="1:45" ht="15">
      <c r="A227" s="51">
        <v>44022</v>
      </c>
      <c r="B227" s="48">
        <v>5.7599999999999998E-2</v>
      </c>
      <c r="C227" s="16"/>
      <c r="D227" s="51">
        <v>44383</v>
      </c>
      <c r="E227" s="48">
        <v>6.3200000000000006E-2</v>
      </c>
      <c r="F227" s="16"/>
      <c r="G227" s="51">
        <v>44746</v>
      </c>
      <c r="H227" s="48">
        <v>7.3800000000000004E-2</v>
      </c>
      <c r="I227" s="16"/>
      <c r="J227" s="51">
        <v>45118</v>
      </c>
      <c r="K227" s="48">
        <v>7.0900000000000005E-2</v>
      </c>
      <c r="L227" s="16"/>
      <c r="M227" s="51">
        <v>45476</v>
      </c>
      <c r="N227" s="48">
        <v>7.0499999999999993E-2</v>
      </c>
      <c r="O227" s="16"/>
      <c r="P227" s="16"/>
      <c r="Q227" s="51">
        <v>44021</v>
      </c>
      <c r="R227" s="49">
        <v>576.70000000000005</v>
      </c>
      <c r="S227" s="50">
        <v>15268.19</v>
      </c>
      <c r="T227" s="16">
        <f t="shared" ref="T227:U227" si="917">R227/R228-1</f>
        <v>-1.2246296137706558E-2</v>
      </c>
      <c r="U227" s="16">
        <f t="shared" si="917"/>
        <v>1.0864606871383797E-2</v>
      </c>
      <c r="V227" s="16"/>
      <c r="W227" s="51">
        <v>44384</v>
      </c>
      <c r="X227" s="50">
        <v>1045.95</v>
      </c>
      <c r="Y227" s="50">
        <v>22595.93</v>
      </c>
      <c r="Z227" s="16">
        <f t="shared" ref="Z227:AA227" si="918">X227/X228-1</f>
        <v>-3.9045759725726548E-3</v>
      </c>
      <c r="AA227" s="16">
        <f t="shared" si="918"/>
        <v>-1.018614021770281E-3</v>
      </c>
      <c r="AB227" s="16"/>
      <c r="AC227" s="51">
        <v>44749</v>
      </c>
      <c r="AD227" s="50">
        <v>1020.9</v>
      </c>
      <c r="AE227" s="50">
        <v>23345.61</v>
      </c>
      <c r="AF227" s="16">
        <f t="shared" ref="AF227:AG227" si="919">AD227/AD228-1</f>
        <v>1.0291934685799031E-2</v>
      </c>
      <c r="AG227" s="16">
        <f t="shared" si="919"/>
        <v>8.9857678161615606E-3</v>
      </c>
      <c r="AH227" s="16"/>
      <c r="AI227" s="51">
        <v>45110</v>
      </c>
      <c r="AJ227" s="50">
        <v>1121.3499999999999</v>
      </c>
      <c r="AK227" s="50">
        <v>28269.43</v>
      </c>
      <c r="AL227" s="16">
        <f t="shared" ref="AL227:AM227" si="920">AJ227/AJ228-1</f>
        <v>-8.1376321259564177E-3</v>
      </c>
      <c r="AM227" s="16">
        <f t="shared" si="920"/>
        <v>-8.4516556946432342E-3</v>
      </c>
      <c r="AN227" s="16"/>
      <c r="AO227" s="51">
        <v>45478</v>
      </c>
      <c r="AP227" s="50">
        <v>1461.15</v>
      </c>
      <c r="AQ227" s="50">
        <v>36004.74</v>
      </c>
      <c r="AR227" s="16">
        <f t="shared" ref="AR227:AS227" si="921">AP227/AP228-1</f>
        <v>2.6074724671494298E-3</v>
      </c>
      <c r="AS227" s="16">
        <f t="shared" si="921"/>
        <v>-1.3524167576384194E-4</v>
      </c>
    </row>
    <row r="228" spans="1:45" ht="15">
      <c r="A228" s="51">
        <v>44021</v>
      </c>
      <c r="B228" s="48">
        <v>5.7700000000000001E-2</v>
      </c>
      <c r="C228" s="16"/>
      <c r="D228" s="51">
        <v>44382</v>
      </c>
      <c r="E228" s="48">
        <v>6.2700000000000006E-2</v>
      </c>
      <c r="F228" s="16"/>
      <c r="G228" s="51">
        <v>44743</v>
      </c>
      <c r="H228" s="48">
        <v>7.4200000000000002E-2</v>
      </c>
      <c r="I228" s="16"/>
      <c r="J228" s="51">
        <v>45117</v>
      </c>
      <c r="K228" s="48">
        <v>7.1599999999999997E-2</v>
      </c>
      <c r="L228" s="16"/>
      <c r="M228" s="51">
        <v>45475</v>
      </c>
      <c r="N228" s="48">
        <v>7.0599999999999996E-2</v>
      </c>
      <c r="O228" s="16"/>
      <c r="P228" s="16"/>
      <c r="Q228" s="51">
        <v>44020</v>
      </c>
      <c r="R228" s="49">
        <v>583.85</v>
      </c>
      <c r="S228" s="50">
        <v>15104.09</v>
      </c>
      <c r="T228" s="16">
        <f t="shared" ref="T228:U228" si="922">R228/R229-1</f>
        <v>-4.6880327309921643E-3</v>
      </c>
      <c r="U228" s="16">
        <f t="shared" si="922"/>
        <v>-8.6955209108605658E-3</v>
      </c>
      <c r="V228" s="16"/>
      <c r="W228" s="51">
        <v>44383</v>
      </c>
      <c r="X228" s="50">
        <v>1050.05</v>
      </c>
      <c r="Y228" s="50">
        <v>22618.97</v>
      </c>
      <c r="Z228" s="16">
        <f t="shared" ref="Z228:AA228" si="923">X228/X229-1</f>
        <v>-2.3027540007443226E-2</v>
      </c>
      <c r="AA228" s="16">
        <f t="shared" si="923"/>
        <v>7.227699934006182E-3</v>
      </c>
      <c r="AB228" s="16"/>
      <c r="AC228" s="51">
        <v>44748</v>
      </c>
      <c r="AD228" s="50">
        <v>1010.5</v>
      </c>
      <c r="AE228" s="50">
        <v>23137.7</v>
      </c>
      <c r="AF228" s="16">
        <f t="shared" ref="AF228:AG228" si="924">AD228/AD229-1</f>
        <v>7.2767145135566036E-3</v>
      </c>
      <c r="AG228" s="16">
        <f t="shared" si="924"/>
        <v>1.1319689213382444E-2</v>
      </c>
      <c r="AH228" s="16"/>
      <c r="AI228" s="47">
        <v>45107</v>
      </c>
      <c r="AJ228" s="50">
        <v>1130.55</v>
      </c>
      <c r="AK228" s="50">
        <v>28510.39</v>
      </c>
      <c r="AL228" s="16">
        <f t="shared" ref="AL228:AM228" si="925">AJ228/AJ229-1</f>
        <v>1.9431920649233492E-2</v>
      </c>
      <c r="AM228" s="16">
        <f t="shared" si="925"/>
        <v>5.0916662083708708E-3</v>
      </c>
      <c r="AN228" s="16"/>
      <c r="AO228" s="51">
        <v>45477</v>
      </c>
      <c r="AP228" s="50">
        <v>1457.35</v>
      </c>
      <c r="AQ228" s="50">
        <v>36009.61</v>
      </c>
      <c r="AR228" s="16">
        <f t="shared" ref="AR228:AS228" si="926">AP228/AP229-1</f>
        <v>-1.4738194233174573E-2</v>
      </c>
      <c r="AS228" s="16">
        <f t="shared" si="926"/>
        <v>1.7269614908173025E-3</v>
      </c>
    </row>
    <row r="229" spans="1:45" ht="15">
      <c r="A229" s="51">
        <v>44020</v>
      </c>
      <c r="B229" s="48">
        <v>5.7799999999999997E-2</v>
      </c>
      <c r="C229" s="16"/>
      <c r="D229" s="51">
        <v>44379</v>
      </c>
      <c r="E229" s="48">
        <v>6.2700000000000006E-2</v>
      </c>
      <c r="F229" s="16"/>
      <c r="G229" s="47">
        <v>44742</v>
      </c>
      <c r="H229" s="48">
        <v>7.4499999999999997E-2</v>
      </c>
      <c r="I229" s="16"/>
      <c r="J229" s="51">
        <v>45114</v>
      </c>
      <c r="K229" s="48">
        <v>7.1599999999999997E-2</v>
      </c>
      <c r="L229" s="16"/>
      <c r="M229" s="51">
        <v>45474</v>
      </c>
      <c r="N229" s="48">
        <v>7.0599999999999996E-2</v>
      </c>
      <c r="O229" s="16"/>
      <c r="P229" s="16"/>
      <c r="Q229" s="51">
        <v>44019</v>
      </c>
      <c r="R229" s="49">
        <v>586.6</v>
      </c>
      <c r="S229" s="50">
        <v>15236.58</v>
      </c>
      <c r="T229" s="16">
        <f t="shared" ref="T229:U229" si="927">R229/R230-1</f>
        <v>8.7704213241617257E-3</v>
      </c>
      <c r="U229" s="16">
        <f t="shared" si="927"/>
        <v>3.3452348183629077E-3</v>
      </c>
      <c r="V229" s="16"/>
      <c r="W229" s="51">
        <v>44382</v>
      </c>
      <c r="X229" s="50">
        <v>1074.8</v>
      </c>
      <c r="Y229" s="50">
        <v>22456.66</v>
      </c>
      <c r="Z229" s="16">
        <f t="shared" ref="Z229:AA229" si="928">X229/X230-1</f>
        <v>-1.3447152232778037E-2</v>
      </c>
      <c r="AA229" s="16">
        <f t="shared" si="928"/>
        <v>2.6906109910520559E-3</v>
      </c>
      <c r="AB229" s="16"/>
      <c r="AC229" s="51">
        <v>44747</v>
      </c>
      <c r="AD229" s="50">
        <v>1003.2</v>
      </c>
      <c r="AE229" s="50">
        <v>22878.720000000001</v>
      </c>
      <c r="AF229" s="16">
        <f t="shared" ref="AF229:AG229" si="929">AD229/AD230-1</f>
        <v>2.8490028490029129E-3</v>
      </c>
      <c r="AG229" s="16">
        <f t="shared" si="929"/>
        <v>-1.5483848443322845E-3</v>
      </c>
      <c r="AH229" s="16"/>
      <c r="AI229" s="47">
        <v>45105</v>
      </c>
      <c r="AJ229" s="50">
        <v>1109</v>
      </c>
      <c r="AK229" s="50">
        <v>28365.96</v>
      </c>
      <c r="AL229" s="16">
        <f t="shared" ref="AL229:AM229" si="930">AJ229/AJ230-1</f>
        <v>-9.3349412658002562E-3</v>
      </c>
      <c r="AM229" s="16">
        <f t="shared" si="930"/>
        <v>4.9202860749564259E-4</v>
      </c>
      <c r="AN229" s="16"/>
      <c r="AO229" s="51">
        <v>45476</v>
      </c>
      <c r="AP229" s="50">
        <v>1479.15</v>
      </c>
      <c r="AQ229" s="50">
        <v>35947.53</v>
      </c>
      <c r="AR229" s="16">
        <f t="shared" ref="AR229:AS229" si="931">AP229/AP230-1</f>
        <v>4.9256063591276433E-3</v>
      </c>
      <c r="AS229" s="16">
        <f t="shared" si="931"/>
        <v>6.7426989335637177E-3</v>
      </c>
    </row>
    <row r="230" spans="1:45" ht="15">
      <c r="A230" s="51">
        <v>44019</v>
      </c>
      <c r="B230" s="48">
        <v>5.8000000000000003E-2</v>
      </c>
      <c r="C230" s="16"/>
      <c r="D230" s="51">
        <v>44378</v>
      </c>
      <c r="E230" s="48">
        <v>6.25E-2</v>
      </c>
      <c r="F230" s="16"/>
      <c r="G230" s="47">
        <v>44741</v>
      </c>
      <c r="H230" s="48">
        <v>7.46E-2</v>
      </c>
      <c r="I230" s="16"/>
      <c r="J230" s="51">
        <v>45113</v>
      </c>
      <c r="K230" s="48">
        <v>7.1499999999999994E-2</v>
      </c>
      <c r="L230" s="16"/>
      <c r="M230" s="47">
        <v>45471</v>
      </c>
      <c r="N230" s="48">
        <v>7.0599999999999996E-2</v>
      </c>
      <c r="O230" s="16"/>
      <c r="P230" s="16"/>
      <c r="Q230" s="52">
        <v>44018</v>
      </c>
      <c r="R230" s="49">
        <v>581.5</v>
      </c>
      <c r="S230" s="50">
        <v>15185.78</v>
      </c>
      <c r="T230" s="16">
        <f t="shared" ref="T230:U230" si="932">R230/R231-1</f>
        <v>2.5573192239858988E-2</v>
      </c>
      <c r="U230" s="16">
        <f t="shared" si="932"/>
        <v>1.4780892760844155E-2</v>
      </c>
      <c r="V230" s="16"/>
      <c r="W230" s="51">
        <v>44379</v>
      </c>
      <c r="X230" s="50">
        <v>1089.45</v>
      </c>
      <c r="Y230" s="50">
        <v>22396.400000000001</v>
      </c>
      <c r="Z230" s="16">
        <f t="shared" ref="Z230:AA230" si="933">X230/X231-1</f>
        <v>3.916328787320289E-3</v>
      </c>
      <c r="AA230" s="16">
        <f t="shared" si="933"/>
        <v>-2.6407549085532001E-3</v>
      </c>
      <c r="AB230" s="16"/>
      <c r="AC230" s="51">
        <v>44746</v>
      </c>
      <c r="AD230" s="50">
        <v>1000.35</v>
      </c>
      <c r="AE230" s="50">
        <v>22914.2</v>
      </c>
      <c r="AF230" s="16">
        <f t="shared" ref="AF230:AG230" si="934">AD230/AD231-1</f>
        <v>-1.0142489610132643E-2</v>
      </c>
      <c r="AG230" s="16">
        <f t="shared" si="934"/>
        <v>5.5300598819212343E-3</v>
      </c>
      <c r="AH230" s="16"/>
      <c r="AI230" s="47">
        <v>45104</v>
      </c>
      <c r="AJ230" s="50">
        <v>1119.45</v>
      </c>
      <c r="AK230" s="50">
        <v>28352.01</v>
      </c>
      <c r="AL230" s="16">
        <f t="shared" ref="AL230:AM230" si="935">AJ230/AJ231-1</f>
        <v>6.1567499550603255E-3</v>
      </c>
      <c r="AM230" s="16">
        <f t="shared" si="935"/>
        <v>3.436925984519501E-3</v>
      </c>
      <c r="AN230" s="16"/>
      <c r="AO230" s="51">
        <v>45475</v>
      </c>
      <c r="AP230" s="50">
        <v>1471.9</v>
      </c>
      <c r="AQ230" s="50">
        <v>35706.769999999997</v>
      </c>
      <c r="AR230" s="16">
        <f t="shared" ref="AR230:AS230" si="936">AP230/AP231-1</f>
        <v>-6.4500797773014984E-4</v>
      </c>
      <c r="AS230" s="16">
        <f t="shared" si="936"/>
        <v>-7.5027467161159489E-4</v>
      </c>
    </row>
    <row r="231" spans="1:45" ht="15">
      <c r="A231" s="51">
        <v>44018</v>
      </c>
      <c r="B231" s="48">
        <v>5.8400000000000001E-2</v>
      </c>
      <c r="C231" s="16"/>
      <c r="D231" s="47">
        <v>44377</v>
      </c>
      <c r="E231" s="48">
        <v>6.2600000000000003E-2</v>
      </c>
      <c r="F231" s="16"/>
      <c r="G231" s="47">
        <v>44740</v>
      </c>
      <c r="H231" s="48">
        <v>7.4700000000000003E-2</v>
      </c>
      <c r="I231" s="16"/>
      <c r="J231" s="51">
        <v>45112</v>
      </c>
      <c r="K231" s="48">
        <v>7.1199999999999999E-2</v>
      </c>
      <c r="L231" s="16"/>
      <c r="M231" s="47">
        <v>45470</v>
      </c>
      <c r="N231" s="48">
        <v>7.0499999999999993E-2</v>
      </c>
      <c r="O231" s="16"/>
      <c r="P231" s="16"/>
      <c r="Q231" s="52">
        <v>44015</v>
      </c>
      <c r="R231" s="49">
        <v>567</v>
      </c>
      <c r="S231" s="50">
        <v>14964.59</v>
      </c>
      <c r="T231" s="16">
        <f t="shared" ref="T231:U231" si="937">R231/R232-1</f>
        <v>1.1145786892554632E-2</v>
      </c>
      <c r="U231" s="16">
        <f t="shared" si="937"/>
        <v>5.2754053120840361E-3</v>
      </c>
      <c r="V231" s="16"/>
      <c r="W231" s="51">
        <v>44378</v>
      </c>
      <c r="X231" s="50">
        <v>1085.2</v>
      </c>
      <c r="Y231" s="50">
        <v>22455.7</v>
      </c>
      <c r="Z231" s="16">
        <f t="shared" ref="Z231:AA231" si="938">X231/X232-1</f>
        <v>-9.0402702949501368E-3</v>
      </c>
      <c r="AA231" s="16">
        <f t="shared" si="938"/>
        <v>-1.6849237116334237E-3</v>
      </c>
      <c r="AB231" s="16"/>
      <c r="AC231" s="51">
        <v>44743</v>
      </c>
      <c r="AD231" s="50">
        <v>1010.6</v>
      </c>
      <c r="AE231" s="50">
        <v>22788.18</v>
      </c>
      <c r="AF231" s="16">
        <f t="shared" ref="AF231:AG231" si="939">AD231/AD232-1</f>
        <v>1.09032709812944E-2</v>
      </c>
      <c r="AG231" s="16">
        <f t="shared" si="939"/>
        <v>-1.7850157672741895E-3</v>
      </c>
      <c r="AH231" s="16"/>
      <c r="AI231" s="47">
        <v>45103</v>
      </c>
      <c r="AJ231" s="50">
        <v>1112.5999999999999</v>
      </c>
      <c r="AK231" s="50">
        <v>28254.9</v>
      </c>
      <c r="AL231" s="16">
        <f t="shared" ref="AL231:AM231" si="940">AJ231/AJ232-1</f>
        <v>-2.5550226366042317E-3</v>
      </c>
      <c r="AM231" s="16">
        <f t="shared" si="940"/>
        <v>6.9583904289611809E-3</v>
      </c>
      <c r="AN231" s="16"/>
      <c r="AO231" s="51">
        <v>45474</v>
      </c>
      <c r="AP231" s="50">
        <v>1472.85</v>
      </c>
      <c r="AQ231" s="50">
        <v>35733.58</v>
      </c>
      <c r="AR231" s="16">
        <f t="shared" ref="AR231:AS231" si="941">AP231/AP232-1</f>
        <v>2.9821004055376799E-2</v>
      </c>
      <c r="AS231" s="16">
        <f t="shared" si="941"/>
        <v>5.4705851235650194E-3</v>
      </c>
    </row>
    <row r="232" spans="1:45" ht="15">
      <c r="A232" s="51">
        <v>44015</v>
      </c>
      <c r="B232" s="48">
        <v>5.8500000000000003E-2</v>
      </c>
      <c r="C232" s="16"/>
      <c r="D232" s="47">
        <v>44376</v>
      </c>
      <c r="E232" s="48">
        <v>6.25E-2</v>
      </c>
      <c r="F232" s="16"/>
      <c r="G232" s="47">
        <v>44739</v>
      </c>
      <c r="H232" s="48">
        <v>7.4099999999999999E-2</v>
      </c>
      <c r="I232" s="16"/>
      <c r="J232" s="51">
        <v>45111</v>
      </c>
      <c r="K232" s="48">
        <v>7.1199999999999999E-2</v>
      </c>
      <c r="L232" s="16"/>
      <c r="M232" s="47">
        <v>45469</v>
      </c>
      <c r="N232" s="48">
        <v>7.0400000000000004E-2</v>
      </c>
      <c r="O232" s="16"/>
      <c r="P232" s="16"/>
      <c r="Q232" s="52">
        <v>44014</v>
      </c>
      <c r="R232" s="49">
        <v>560.75</v>
      </c>
      <c r="S232" s="50">
        <v>14886.06</v>
      </c>
      <c r="T232" s="16">
        <f t="shared" ref="T232:U232" si="942">R232/R233-1</f>
        <v>2.7108709588790081E-2</v>
      </c>
      <c r="U232" s="16">
        <f t="shared" si="942"/>
        <v>1.2131110089722119E-2</v>
      </c>
      <c r="V232" s="16"/>
      <c r="W232" s="47">
        <v>44377</v>
      </c>
      <c r="X232" s="50">
        <v>1095.0999999999999</v>
      </c>
      <c r="Y232" s="50">
        <v>22493.599999999999</v>
      </c>
      <c r="Z232" s="16">
        <f t="shared" ref="Z232:AA232" si="943">X232/X233-1</f>
        <v>6.0171788158558392E-3</v>
      </c>
      <c r="AA232" s="16">
        <f t="shared" si="943"/>
        <v>-3.7760985275607784E-3</v>
      </c>
      <c r="AB232" s="16"/>
      <c r="AC232" s="47">
        <v>44742</v>
      </c>
      <c r="AD232" s="49">
        <v>999.7</v>
      </c>
      <c r="AE232" s="50">
        <v>22828.93</v>
      </c>
      <c r="AF232" s="16">
        <f t="shared" ref="AF232:AG232" si="944">AD232/AD233-1</f>
        <v>-2.0861900097943198E-2</v>
      </c>
      <c r="AG232" s="16">
        <f t="shared" si="944"/>
        <v>-8.4995196589676691E-4</v>
      </c>
      <c r="AH232" s="16"/>
      <c r="AI232" s="47">
        <v>45100</v>
      </c>
      <c r="AJ232" s="50">
        <v>1115.45</v>
      </c>
      <c r="AK232" s="50">
        <v>28059.65</v>
      </c>
      <c r="AL232" s="16">
        <f t="shared" ref="AL232:AM232" si="945">AJ232/AJ233-1</f>
        <v>-3.7511722413254844E-3</v>
      </c>
      <c r="AM232" s="16">
        <f t="shared" si="945"/>
        <v>1.1536198739421355E-2</v>
      </c>
      <c r="AN232" s="16"/>
      <c r="AO232" s="47">
        <v>45471</v>
      </c>
      <c r="AP232" s="50">
        <v>1430.2</v>
      </c>
      <c r="AQ232" s="50">
        <v>35539.160000000003</v>
      </c>
      <c r="AR232" s="16">
        <f t="shared" ref="AR232:AS232" si="946">AP232/AP233-1</f>
        <v>-1.2918543346949196E-3</v>
      </c>
      <c r="AS232" s="16">
        <f t="shared" si="946"/>
        <v>-1.3055835475115352E-3</v>
      </c>
    </row>
    <row r="233" spans="1:45" ht="15">
      <c r="A233" s="51">
        <v>44014</v>
      </c>
      <c r="B233" s="48">
        <v>5.8400000000000001E-2</v>
      </c>
      <c r="C233" s="16"/>
      <c r="D233" s="47">
        <v>44375</v>
      </c>
      <c r="E233" s="48">
        <v>6.2700000000000006E-2</v>
      </c>
      <c r="F233" s="16"/>
      <c r="G233" s="47">
        <v>44736</v>
      </c>
      <c r="H233" s="48">
        <v>7.4499999999999997E-2</v>
      </c>
      <c r="I233" s="16"/>
      <c r="J233" s="51">
        <v>45110</v>
      </c>
      <c r="K233" s="48">
        <v>7.1199999999999999E-2</v>
      </c>
      <c r="L233" s="16"/>
      <c r="M233" s="47">
        <v>45468</v>
      </c>
      <c r="N233" s="48">
        <v>7.0300000000000001E-2</v>
      </c>
      <c r="O233" s="16"/>
      <c r="P233" s="16"/>
      <c r="Q233" s="52">
        <v>44013</v>
      </c>
      <c r="R233" s="49">
        <v>545.95000000000005</v>
      </c>
      <c r="S233" s="50">
        <v>14707.64</v>
      </c>
      <c r="T233" s="16">
        <f t="shared" ref="T233:U233" si="947">R233/R234-1</f>
        <v>4.6002392124391278E-3</v>
      </c>
      <c r="U233" s="16">
        <f t="shared" si="947"/>
        <v>1.2422231981706E-2</v>
      </c>
      <c r="V233" s="16"/>
      <c r="W233" s="47">
        <v>44376</v>
      </c>
      <c r="X233" s="50">
        <v>1088.55</v>
      </c>
      <c r="Y233" s="50">
        <v>22578.86</v>
      </c>
      <c r="Z233" s="16">
        <f t="shared" ref="Z233:AA233" si="948">X233/X234-1</f>
        <v>-1.4708544532947121E-2</v>
      </c>
      <c r="AA233" s="16">
        <f t="shared" si="948"/>
        <v>-2.8793423087556391E-3</v>
      </c>
      <c r="AB233" s="16"/>
      <c r="AC233" s="47">
        <v>44741</v>
      </c>
      <c r="AD233" s="50">
        <v>1021</v>
      </c>
      <c r="AE233" s="50">
        <v>22848.35</v>
      </c>
      <c r="AF233" s="16">
        <f t="shared" ref="AF233:AG233" si="949">AD233/AD234-1</f>
        <v>-1.9584802193506334E-4</v>
      </c>
      <c r="AG233" s="16">
        <f t="shared" si="949"/>
        <v>-3.2235069522003057E-3</v>
      </c>
      <c r="AH233" s="16"/>
      <c r="AI233" s="47">
        <v>45099</v>
      </c>
      <c r="AJ233" s="50">
        <v>1119.6500000000001</v>
      </c>
      <c r="AK233" s="50">
        <v>27739.64</v>
      </c>
      <c r="AL233" s="16">
        <f t="shared" ref="AL233:AM233" si="950">AJ233/AJ234-1</f>
        <v>-4.4654818254885598E-5</v>
      </c>
      <c r="AM233" s="16">
        <f t="shared" si="950"/>
        <v>8.2210700584621765E-3</v>
      </c>
      <c r="AN233" s="16"/>
      <c r="AO233" s="47">
        <v>45470</v>
      </c>
      <c r="AP233" s="50">
        <v>1432.05</v>
      </c>
      <c r="AQ233" s="50">
        <v>35585.620000000003</v>
      </c>
      <c r="AR233" s="16">
        <f t="shared" ref="AR233:AS233" si="951">AP233/AP234-1</f>
        <v>1.3840707964601684E-2</v>
      </c>
      <c r="AS233" s="16">
        <f t="shared" si="951"/>
        <v>7.4031589189367253E-3</v>
      </c>
    </row>
    <row r="234" spans="1:45" ht="15">
      <c r="A234" s="51">
        <v>44013</v>
      </c>
      <c r="B234" s="48">
        <v>5.8400000000000001E-2</v>
      </c>
      <c r="C234" s="16"/>
      <c r="D234" s="47">
        <v>44372</v>
      </c>
      <c r="E234" s="48">
        <v>6.25E-2</v>
      </c>
      <c r="F234" s="16"/>
      <c r="G234" s="47">
        <v>44735</v>
      </c>
      <c r="H234" s="48">
        <v>7.4200000000000002E-2</v>
      </c>
      <c r="I234" s="16"/>
      <c r="J234" s="47">
        <v>45107</v>
      </c>
      <c r="K234" s="48">
        <v>7.1099999999999997E-2</v>
      </c>
      <c r="L234" s="16"/>
      <c r="M234" s="47">
        <v>45467</v>
      </c>
      <c r="N234" s="48">
        <v>7.0099999999999996E-2</v>
      </c>
      <c r="O234" s="16"/>
      <c r="P234" s="16"/>
      <c r="Q234" s="47">
        <v>44012</v>
      </c>
      <c r="R234" s="49">
        <v>543.45000000000005</v>
      </c>
      <c r="S234" s="50">
        <v>14527.18</v>
      </c>
      <c r="T234" s="16">
        <f t="shared" ref="T234:U234" si="952">R234/R235-1</f>
        <v>3.4158050221566594E-3</v>
      </c>
      <c r="U234" s="16">
        <f t="shared" si="952"/>
        <v>-1.0026296679356284E-3</v>
      </c>
      <c r="V234" s="16"/>
      <c r="W234" s="47">
        <v>44375</v>
      </c>
      <c r="X234" s="50">
        <v>1104.8</v>
      </c>
      <c r="Y234" s="50">
        <v>22644.06</v>
      </c>
      <c r="Z234" s="16">
        <f t="shared" ref="Z234:AA234" si="953">X234/X235-1</f>
        <v>1.4275877897635958E-2</v>
      </c>
      <c r="AA234" s="16">
        <f t="shared" si="953"/>
        <v>4.4268474547402015E-3</v>
      </c>
      <c r="AB234" s="16"/>
      <c r="AC234" s="47">
        <v>44740</v>
      </c>
      <c r="AD234" s="50">
        <v>1021.2</v>
      </c>
      <c r="AE234" s="50">
        <v>22922.240000000002</v>
      </c>
      <c r="AF234" s="16">
        <f t="shared" ref="AF234:AG234" si="954">AD234/AD235-1</f>
        <v>1.3950255671945744E-2</v>
      </c>
      <c r="AG234" s="16">
        <f t="shared" si="954"/>
        <v>1.1451771967354585E-3</v>
      </c>
      <c r="AH234" s="16"/>
      <c r="AI234" s="47">
        <v>45098</v>
      </c>
      <c r="AJ234" s="50">
        <v>1119.7</v>
      </c>
      <c r="AK234" s="50">
        <v>27513.45</v>
      </c>
      <c r="AL234" s="16">
        <f t="shared" ref="AL234:AM234" si="955">AJ234/AJ235-1</f>
        <v>1.1289739884392969E-2</v>
      </c>
      <c r="AM234" s="16">
        <f t="shared" si="955"/>
        <v>6.7525561758592367E-3</v>
      </c>
      <c r="AN234" s="16"/>
      <c r="AO234" s="47">
        <v>45469</v>
      </c>
      <c r="AP234" s="50">
        <v>1412.5</v>
      </c>
      <c r="AQ234" s="50">
        <v>35324.11</v>
      </c>
      <c r="AR234" s="16">
        <f t="shared" ref="AR234:AS234" si="956">AP234/AP235-1</f>
        <v>-1.1027481183266241E-2</v>
      </c>
      <c r="AS234" s="16">
        <f t="shared" si="956"/>
        <v>6.2189171643765029E-3</v>
      </c>
    </row>
    <row r="235" spans="1:45" ht="15">
      <c r="A235" s="47">
        <v>44012</v>
      </c>
      <c r="B235" s="48">
        <v>5.8799999999999998E-2</v>
      </c>
      <c r="C235" s="16"/>
      <c r="D235" s="47">
        <v>44371</v>
      </c>
      <c r="E235" s="48">
        <v>6.2100000000000002E-2</v>
      </c>
      <c r="F235" s="16"/>
      <c r="G235" s="47">
        <v>44734</v>
      </c>
      <c r="H235" s="48">
        <v>7.3999999999999996E-2</v>
      </c>
      <c r="I235" s="16"/>
      <c r="J235" s="47">
        <v>45105</v>
      </c>
      <c r="K235" s="48">
        <v>7.0499999999999993E-2</v>
      </c>
      <c r="L235" s="16"/>
      <c r="M235" s="47">
        <v>45464</v>
      </c>
      <c r="N235" s="48">
        <v>7.0300000000000001E-2</v>
      </c>
      <c r="O235" s="16"/>
      <c r="P235" s="16"/>
      <c r="Q235" s="47">
        <v>44011</v>
      </c>
      <c r="R235" s="49">
        <v>541.6</v>
      </c>
      <c r="S235" s="50">
        <v>14541.76</v>
      </c>
      <c r="T235" s="16">
        <f t="shared" ref="T235:U235" si="957">R235/R236-1</f>
        <v>-3.4667141965956549E-2</v>
      </c>
      <c r="U235" s="16">
        <f t="shared" si="957"/>
        <v>-6.7958631975663097E-3</v>
      </c>
      <c r="V235" s="16"/>
      <c r="W235" s="47">
        <v>44372</v>
      </c>
      <c r="X235" s="50">
        <v>1089.25</v>
      </c>
      <c r="Y235" s="50">
        <v>22544.26</v>
      </c>
      <c r="Z235" s="16">
        <f t="shared" ref="Z235:AA235" si="958">X235/X236-1</f>
        <v>8.7049127193592479E-3</v>
      </c>
      <c r="AA235" s="16">
        <f t="shared" si="958"/>
        <v>6.6536430716335193E-3</v>
      </c>
      <c r="AB235" s="16"/>
      <c r="AC235" s="47">
        <v>44739</v>
      </c>
      <c r="AD235" s="50">
        <v>1007.15</v>
      </c>
      <c r="AE235" s="50">
        <v>22896.02</v>
      </c>
      <c r="AF235" s="16">
        <f t="shared" ref="AF235:AG235" si="959">AD235/AD236-1</f>
        <v>2.6708802691268518E-2</v>
      </c>
      <c r="AG235" s="16">
        <f t="shared" si="959"/>
        <v>8.4597614071559857E-3</v>
      </c>
      <c r="AH235" s="16"/>
      <c r="AI235" s="47">
        <v>45097</v>
      </c>
      <c r="AJ235" s="50">
        <v>1107.2</v>
      </c>
      <c r="AK235" s="50">
        <v>27328.91</v>
      </c>
      <c r="AL235" s="16">
        <f t="shared" ref="AL235:AM235" si="960">AJ235/AJ236-1</f>
        <v>1.280643980973295E-2</v>
      </c>
      <c r="AM235" s="16">
        <f t="shared" si="960"/>
        <v>1.3747925627827229E-3</v>
      </c>
      <c r="AN235" s="16"/>
      <c r="AO235" s="47">
        <v>45468</v>
      </c>
      <c r="AP235" s="50">
        <v>1428.25</v>
      </c>
      <c r="AQ235" s="50">
        <v>35105.79</v>
      </c>
      <c r="AR235" s="16">
        <f t="shared" ref="AR235:AS235" si="961">AP235/AP236-1</f>
        <v>1.959594517418628E-2</v>
      </c>
      <c r="AS235" s="16">
        <f t="shared" si="961"/>
        <v>7.792887074331567E-3</v>
      </c>
    </row>
    <row r="236" spans="1:45" ht="15">
      <c r="A236" s="47">
        <v>44011</v>
      </c>
      <c r="B236" s="48">
        <v>6.2799999999999995E-2</v>
      </c>
      <c r="C236" s="16"/>
      <c r="D236" s="47">
        <v>44370</v>
      </c>
      <c r="E236" s="48">
        <v>6.2100000000000002E-2</v>
      </c>
      <c r="F236" s="16"/>
      <c r="G236" s="47">
        <v>44733</v>
      </c>
      <c r="H236" s="48">
        <v>7.4800000000000005E-2</v>
      </c>
      <c r="I236" s="16"/>
      <c r="J236" s="47">
        <v>45104</v>
      </c>
      <c r="K236" s="48">
        <v>7.0599999999999996E-2</v>
      </c>
      <c r="L236" s="16"/>
      <c r="M236" s="47">
        <v>45463</v>
      </c>
      <c r="N236" s="48">
        <v>7.0300000000000001E-2</v>
      </c>
      <c r="O236" s="16"/>
      <c r="P236" s="16"/>
      <c r="Q236" s="47">
        <v>44008</v>
      </c>
      <c r="R236" s="49">
        <v>561.04999999999995</v>
      </c>
      <c r="S236" s="50">
        <v>14641.26</v>
      </c>
      <c r="T236" s="16">
        <f t="shared" ref="T236:U236" si="962">R236/R237-1</f>
        <v>1.2086227112834802E-2</v>
      </c>
      <c r="U236" s="16">
        <f t="shared" si="962"/>
        <v>9.142846902632229E-3</v>
      </c>
      <c r="V236" s="16"/>
      <c r="W236" s="47">
        <v>44371</v>
      </c>
      <c r="X236" s="50">
        <v>1079.8499999999999</v>
      </c>
      <c r="Y236" s="50">
        <v>22395.25</v>
      </c>
      <c r="Z236" s="16">
        <f t="shared" ref="Z236:AA236" si="963">X236/X237-1</f>
        <v>2.2343195266272042E-2</v>
      </c>
      <c r="AA236" s="16">
        <f t="shared" si="963"/>
        <v>-5.439711090011734E-3</v>
      </c>
      <c r="AB236" s="16"/>
      <c r="AC236" s="47">
        <v>44736</v>
      </c>
      <c r="AD236" s="49">
        <v>980.95</v>
      </c>
      <c r="AE236" s="50">
        <v>22703.95</v>
      </c>
      <c r="AF236" s="16">
        <f t="shared" ref="AF236:AG236" si="964">AD236/AD237-1</f>
        <v>-1.0291076022801771E-2</v>
      </c>
      <c r="AG236" s="16">
        <f t="shared" si="964"/>
        <v>9.1671552349106289E-3</v>
      </c>
      <c r="AH236" s="16"/>
      <c r="AI236" s="47">
        <v>45096</v>
      </c>
      <c r="AJ236" s="50">
        <v>1093.2</v>
      </c>
      <c r="AK236" s="50">
        <v>27291.39</v>
      </c>
      <c r="AL236" s="16">
        <f t="shared" ref="AL236:AM236" si="965">AJ236/AJ237-1</f>
        <v>1.3442106238991336E-2</v>
      </c>
      <c r="AM236" s="16">
        <f t="shared" si="965"/>
        <v>-5.6321565606900492E-3</v>
      </c>
      <c r="AN236" s="16"/>
      <c r="AO236" s="47">
        <v>45467</v>
      </c>
      <c r="AP236" s="50">
        <v>1400.8</v>
      </c>
      <c r="AQ236" s="50">
        <v>34834.33</v>
      </c>
      <c r="AR236" s="16">
        <f t="shared" ref="AR236:AS236" si="966">AP236/AP237-1</f>
        <v>6.7864414044360721E-4</v>
      </c>
      <c r="AS236" s="16">
        <f t="shared" si="966"/>
        <v>1.564984373157996E-3</v>
      </c>
    </row>
    <row r="237" spans="1:45" ht="15">
      <c r="A237" s="47">
        <v>44008</v>
      </c>
      <c r="B237" s="48">
        <v>5.9200000000000003E-2</v>
      </c>
      <c r="C237" s="16"/>
      <c r="D237" s="47">
        <v>44369</v>
      </c>
      <c r="E237" s="48">
        <v>6.2300000000000001E-2</v>
      </c>
      <c r="F237" s="16"/>
      <c r="G237" s="47">
        <v>44732</v>
      </c>
      <c r="H237" s="48">
        <v>7.4499999999999997E-2</v>
      </c>
      <c r="I237" s="16"/>
      <c r="J237" s="47">
        <v>45103</v>
      </c>
      <c r="K237" s="48">
        <v>7.0800000000000002E-2</v>
      </c>
      <c r="L237" s="16"/>
      <c r="M237" s="47">
        <v>45462</v>
      </c>
      <c r="N237" s="48">
        <v>7.0300000000000001E-2</v>
      </c>
      <c r="O237" s="16"/>
      <c r="P237" s="16"/>
      <c r="Q237" s="47">
        <v>44007</v>
      </c>
      <c r="R237" s="49">
        <v>554.35</v>
      </c>
      <c r="S237" s="50">
        <v>14508.61</v>
      </c>
      <c r="T237" s="16">
        <f t="shared" ref="T237:U237" si="967">R237/R238-1</f>
        <v>-1.2557890986818587E-2</v>
      </c>
      <c r="U237" s="16">
        <f t="shared" si="967"/>
        <v>-1.5903141541400156E-3</v>
      </c>
      <c r="V237" s="16"/>
      <c r="W237" s="47">
        <v>44370</v>
      </c>
      <c r="X237" s="50">
        <v>1056.25</v>
      </c>
      <c r="Y237" s="50">
        <v>22517.74</v>
      </c>
      <c r="Z237" s="16">
        <f t="shared" ref="Z237:AA237" si="968">X237/X238-1</f>
        <v>2.3674242424243097E-4</v>
      </c>
      <c r="AA237" s="16">
        <f t="shared" si="968"/>
        <v>1.6654582011808028E-3</v>
      </c>
      <c r="AB237" s="16"/>
      <c r="AC237" s="47">
        <v>44735</v>
      </c>
      <c r="AD237" s="49">
        <v>991.15</v>
      </c>
      <c r="AE237" s="50">
        <v>22497.71</v>
      </c>
      <c r="AF237" s="16">
        <f t="shared" ref="AF237:AG237" si="969">AD237/AD238-1</f>
        <v>1.106804039579723E-2</v>
      </c>
      <c r="AG237" s="16">
        <f t="shared" si="969"/>
        <v>9.2976995539795215E-3</v>
      </c>
      <c r="AH237" s="16"/>
      <c r="AI237" s="47">
        <v>45093</v>
      </c>
      <c r="AJ237" s="50">
        <v>1078.7</v>
      </c>
      <c r="AK237" s="50">
        <v>27445.97</v>
      </c>
      <c r="AL237" s="16">
        <f t="shared" ref="AL237:AM237" si="970">AJ237/AJ238-1</f>
        <v>-2.4506404031995332E-3</v>
      </c>
      <c r="AM237" s="16">
        <f t="shared" si="970"/>
        <v>-4.5398920755542749E-3</v>
      </c>
      <c r="AN237" s="16"/>
      <c r="AO237" s="47">
        <v>45464</v>
      </c>
      <c r="AP237" s="50">
        <v>1399.85</v>
      </c>
      <c r="AQ237" s="50">
        <v>34779.9</v>
      </c>
      <c r="AR237" s="16">
        <f t="shared" ref="AR237:AS237" si="971">AP237/AP238-1</f>
        <v>4.9895900638954327E-3</v>
      </c>
      <c r="AS237" s="16">
        <f t="shared" si="971"/>
        <v>-2.6739769708213901E-3</v>
      </c>
    </row>
    <row r="238" spans="1:45" ht="15">
      <c r="A238" s="47">
        <v>44007</v>
      </c>
      <c r="B238" s="48">
        <v>5.8999999999999997E-2</v>
      </c>
      <c r="C238" s="16"/>
      <c r="D238" s="47">
        <v>44368</v>
      </c>
      <c r="E238" s="48">
        <v>6.2199999999999998E-2</v>
      </c>
      <c r="F238" s="16"/>
      <c r="G238" s="47">
        <v>44729</v>
      </c>
      <c r="H238" s="48">
        <v>7.5499999999999998E-2</v>
      </c>
      <c r="I238" s="16"/>
      <c r="J238" s="47">
        <v>45100</v>
      </c>
      <c r="K238" s="48">
        <v>7.0699999999999999E-2</v>
      </c>
      <c r="L238" s="16"/>
      <c r="M238" s="47">
        <v>45461</v>
      </c>
      <c r="N238" s="48">
        <v>7.0400000000000004E-2</v>
      </c>
      <c r="O238" s="16"/>
      <c r="P238" s="16"/>
      <c r="Q238" s="47">
        <v>44006</v>
      </c>
      <c r="R238" s="49">
        <v>561.4</v>
      </c>
      <c r="S238" s="50">
        <v>14531.72</v>
      </c>
      <c r="T238" s="16">
        <f t="shared" ref="T238:U238" si="972">R238/R239-1</f>
        <v>4.7427293064876697E-3</v>
      </c>
      <c r="U238" s="16">
        <f t="shared" si="972"/>
        <v>-1.5823522081412245E-2</v>
      </c>
      <c r="V238" s="16"/>
      <c r="W238" s="47">
        <v>44369</v>
      </c>
      <c r="X238" s="50">
        <v>1056</v>
      </c>
      <c r="Y238" s="50">
        <v>22480.3</v>
      </c>
      <c r="Z238" s="16">
        <f t="shared" ref="Z238:AA238" si="973">X238/X239-1</f>
        <v>-6.7720090293453827E-3</v>
      </c>
      <c r="AA238" s="16">
        <f t="shared" si="973"/>
        <v>4.0281177716410266E-3</v>
      </c>
      <c r="AB238" s="16"/>
      <c r="AC238" s="47">
        <v>44734</v>
      </c>
      <c r="AD238" s="49">
        <v>980.3</v>
      </c>
      <c r="AE238" s="50">
        <v>22290.46</v>
      </c>
      <c r="AF238" s="16">
        <f t="shared" ref="AF238:AG238" si="974">AD238/AD239-1</f>
        <v>-1.9798020197980271E-2</v>
      </c>
      <c r="AG238" s="16">
        <f t="shared" si="974"/>
        <v>-1.4416895260632501E-2</v>
      </c>
      <c r="AH238" s="16"/>
      <c r="AI238" s="47">
        <v>45092</v>
      </c>
      <c r="AJ238" s="50">
        <v>1081.3499999999999</v>
      </c>
      <c r="AK238" s="50">
        <v>27571.14</v>
      </c>
      <c r="AL238" s="16">
        <f t="shared" ref="AL238:AM238" si="975">AJ238/AJ239-1</f>
        <v>3.340292275574086E-3</v>
      </c>
      <c r="AM238" s="16">
        <f t="shared" si="975"/>
        <v>2.1346730439100181E-3</v>
      </c>
      <c r="AN238" s="16"/>
      <c r="AO238" s="47">
        <v>45463</v>
      </c>
      <c r="AP238" s="50">
        <v>1392.9</v>
      </c>
      <c r="AQ238" s="50">
        <v>34873.15</v>
      </c>
      <c r="AR238" s="16">
        <f t="shared" ref="AR238:AS238" si="976">AP238/AP239-1</f>
        <v>8.4343891402716142E-3</v>
      </c>
      <c r="AS238" s="16">
        <f t="shared" si="976"/>
        <v>2.4886033637110394E-3</v>
      </c>
    </row>
    <row r="239" spans="1:45" ht="15">
      <c r="A239" s="47">
        <v>44006</v>
      </c>
      <c r="B239" s="48">
        <v>5.9200000000000003E-2</v>
      </c>
      <c r="C239" s="16"/>
      <c r="D239" s="47">
        <v>44365</v>
      </c>
      <c r="E239" s="48">
        <v>6.2E-2</v>
      </c>
      <c r="F239" s="16"/>
      <c r="G239" s="47">
        <v>44728</v>
      </c>
      <c r="H239" s="48">
        <v>7.6100000000000001E-2</v>
      </c>
      <c r="I239" s="16"/>
      <c r="J239" s="47">
        <v>45099</v>
      </c>
      <c r="K239" s="48">
        <v>7.0800000000000002E-2</v>
      </c>
      <c r="L239" s="16"/>
      <c r="M239" s="47">
        <v>45459</v>
      </c>
      <c r="N239" s="48">
        <v>7.0400000000000004E-2</v>
      </c>
      <c r="O239" s="16"/>
      <c r="P239" s="16"/>
      <c r="Q239" s="47">
        <v>44005</v>
      </c>
      <c r="R239" s="49">
        <v>558.75</v>
      </c>
      <c r="S239" s="50">
        <v>14765.36</v>
      </c>
      <c r="T239" s="16">
        <f t="shared" ref="T239:U239" si="977">R239/R240-1</f>
        <v>1.8501640539555275E-2</v>
      </c>
      <c r="U239" s="16">
        <f t="shared" si="977"/>
        <v>1.5494423341840813E-2</v>
      </c>
      <c r="V239" s="16"/>
      <c r="W239" s="47">
        <v>44368</v>
      </c>
      <c r="X239" s="50">
        <v>1063.2</v>
      </c>
      <c r="Y239" s="50">
        <v>22390.11</v>
      </c>
      <c r="Z239" s="16">
        <f t="shared" ref="Z239:AA239" si="978">X239/X240-1</f>
        <v>-7.0511323838430284E-3</v>
      </c>
      <c r="AA239" s="16">
        <f t="shared" si="978"/>
        <v>-5.1514062580215736E-4</v>
      </c>
      <c r="AB239" s="16"/>
      <c r="AC239" s="47">
        <v>44733</v>
      </c>
      <c r="AD239" s="50">
        <v>1000.1</v>
      </c>
      <c r="AE239" s="50">
        <v>22616.52</v>
      </c>
      <c r="AF239" s="16">
        <f t="shared" ref="AF239:AG239" si="979">AD239/AD240-1</f>
        <v>2.1343954248365993E-2</v>
      </c>
      <c r="AG239" s="16">
        <f t="shared" si="979"/>
        <v>1.880300606645946E-2</v>
      </c>
      <c r="AH239" s="16"/>
      <c r="AI239" s="47">
        <v>45091</v>
      </c>
      <c r="AJ239" s="50">
        <v>1077.75</v>
      </c>
      <c r="AK239" s="50">
        <v>27512.41</v>
      </c>
      <c r="AL239" s="16">
        <f t="shared" ref="AL239:AM239" si="980">AJ239/AJ240-1</f>
        <v>-1.5286270150084436E-3</v>
      </c>
      <c r="AM239" s="16">
        <f t="shared" si="980"/>
        <v>3.2651578773483791E-3</v>
      </c>
      <c r="AN239" s="16"/>
      <c r="AO239" s="47">
        <v>45462</v>
      </c>
      <c r="AP239" s="50">
        <v>1381.25</v>
      </c>
      <c r="AQ239" s="50">
        <v>34786.58</v>
      </c>
      <c r="AR239" s="16">
        <f t="shared" ref="AR239:AS239" si="981">AP239/AP240-1</f>
        <v>7.1457216814321267E-3</v>
      </c>
      <c r="AS239" s="16">
        <f t="shared" si="981"/>
        <v>-1.7407404431454276E-3</v>
      </c>
    </row>
    <row r="240" spans="1:45" ht="15">
      <c r="A240" s="47">
        <v>44005</v>
      </c>
      <c r="B240" s="48">
        <v>5.91E-2</v>
      </c>
      <c r="C240" s="16"/>
      <c r="D240" s="47">
        <v>44364</v>
      </c>
      <c r="E240" s="48">
        <v>6.2300000000000001E-2</v>
      </c>
      <c r="F240" s="16"/>
      <c r="G240" s="47">
        <v>44727</v>
      </c>
      <c r="H240" s="48">
        <v>7.5899999999999995E-2</v>
      </c>
      <c r="I240" s="16"/>
      <c r="J240" s="47">
        <v>45098</v>
      </c>
      <c r="K240" s="48">
        <v>7.0699999999999999E-2</v>
      </c>
      <c r="L240" s="16"/>
      <c r="M240" s="47">
        <v>45457</v>
      </c>
      <c r="N240" s="48">
        <v>7.0400000000000004E-2</v>
      </c>
      <c r="O240" s="16"/>
      <c r="P240" s="16"/>
      <c r="Q240" s="47">
        <v>44004</v>
      </c>
      <c r="R240" s="49">
        <v>548.6</v>
      </c>
      <c r="S240" s="50">
        <v>14540.07</v>
      </c>
      <c r="T240" s="16">
        <f t="shared" ref="T240:U240" si="982">R240/R241-1</f>
        <v>1.8472106191404603E-2</v>
      </c>
      <c r="U240" s="16">
        <f t="shared" si="982"/>
        <v>6.5208948993724647E-3</v>
      </c>
      <c r="V240" s="16"/>
      <c r="W240" s="47">
        <v>44365</v>
      </c>
      <c r="X240" s="50">
        <v>1070.75</v>
      </c>
      <c r="Y240" s="50">
        <v>22401.65</v>
      </c>
      <c r="Z240" s="16">
        <f t="shared" ref="Z240:AA240" si="983">X240/X241-1</f>
        <v>-8.7942605878268409E-3</v>
      </c>
      <c r="AA240" s="16">
        <f t="shared" si="983"/>
        <v>-4.5436568772523334E-3</v>
      </c>
      <c r="AB240" s="16"/>
      <c r="AC240" s="47">
        <v>44732</v>
      </c>
      <c r="AD240" s="49">
        <v>979.2</v>
      </c>
      <c r="AE240" s="50">
        <v>22199.11</v>
      </c>
      <c r="AF240" s="16">
        <f t="shared" ref="AF240:AG240" si="984">AD240/AD241-1</f>
        <v>1.4662452722656871E-2</v>
      </c>
      <c r="AG240" s="16">
        <f t="shared" si="984"/>
        <v>3.8046626335010991E-3</v>
      </c>
      <c r="AH240" s="16"/>
      <c r="AI240" s="47">
        <v>45090</v>
      </c>
      <c r="AJ240" s="50">
        <v>1079.4000000000001</v>
      </c>
      <c r="AK240" s="50">
        <v>27422.87</v>
      </c>
      <c r="AL240" s="16">
        <f t="shared" ref="AL240:AM240" si="985">AJ240/AJ241-1</f>
        <v>3.4862641193695865E-3</v>
      </c>
      <c r="AM240" s="16">
        <f t="shared" si="985"/>
        <v>-3.5091557095638937E-3</v>
      </c>
      <c r="AN240" s="16"/>
      <c r="AO240" s="47">
        <v>45461</v>
      </c>
      <c r="AP240" s="50">
        <v>1371.45</v>
      </c>
      <c r="AQ240" s="50">
        <v>34847.24</v>
      </c>
      <c r="AR240" s="16">
        <f t="shared" ref="AR240:AS240" si="986">AP240/AP241-1</f>
        <v>3.6471060213716378E-4</v>
      </c>
      <c r="AS240" s="16">
        <f t="shared" si="986"/>
        <v>3.9345250322162517E-3</v>
      </c>
    </row>
    <row r="241" spans="1:45" ht="15">
      <c r="A241" s="47">
        <v>44004</v>
      </c>
      <c r="B241" s="48">
        <v>5.8799999999999998E-2</v>
      </c>
      <c r="C241" s="16"/>
      <c r="D241" s="47">
        <v>44363</v>
      </c>
      <c r="E241" s="48">
        <v>6.2199999999999998E-2</v>
      </c>
      <c r="F241" s="16"/>
      <c r="G241" s="47">
        <v>44726</v>
      </c>
      <c r="H241" s="48">
        <v>7.5800000000000006E-2</v>
      </c>
      <c r="I241" s="16"/>
      <c r="J241" s="47">
        <v>45097</v>
      </c>
      <c r="K241" s="48">
        <v>7.0699999999999999E-2</v>
      </c>
      <c r="L241" s="16"/>
      <c r="M241" s="47">
        <v>45456</v>
      </c>
      <c r="N241" s="48">
        <v>7.0499999999999993E-2</v>
      </c>
      <c r="O241" s="16"/>
      <c r="P241" s="16"/>
      <c r="Q241" s="47">
        <v>44001</v>
      </c>
      <c r="R241" s="49">
        <v>538.65</v>
      </c>
      <c r="S241" s="50">
        <v>14445.87</v>
      </c>
      <c r="T241" s="16">
        <f t="shared" ref="T241:U241" si="987">R241/R242-1</f>
        <v>4.756575265808527E-3</v>
      </c>
      <c r="U241" s="16">
        <f t="shared" si="987"/>
        <v>1.5374137036677782E-2</v>
      </c>
      <c r="V241" s="16"/>
      <c r="W241" s="47">
        <v>44364</v>
      </c>
      <c r="X241" s="50">
        <v>1080.25</v>
      </c>
      <c r="Y241" s="50">
        <v>22503.9</v>
      </c>
      <c r="Z241" s="16">
        <f t="shared" ref="Z241:AA241" si="988">X241/X242-1</f>
        <v>1.0429333083902481E-2</v>
      </c>
      <c r="AA241" s="16">
        <f t="shared" si="988"/>
        <v>-6.4086573167526639E-3</v>
      </c>
      <c r="AB241" s="16"/>
      <c r="AC241" s="47">
        <v>44729</v>
      </c>
      <c r="AD241" s="49">
        <v>965.05</v>
      </c>
      <c r="AE241" s="50">
        <v>22114.97</v>
      </c>
      <c r="AF241" s="16">
        <f t="shared" ref="AF241:AG241" si="989">AD241/AD242-1</f>
        <v>-1.0712455151204558E-2</v>
      </c>
      <c r="AG241" s="16">
        <f t="shared" si="989"/>
        <v>-4.3674629636798468E-3</v>
      </c>
      <c r="AH241" s="16"/>
      <c r="AI241" s="51">
        <v>45089</v>
      </c>
      <c r="AJ241" s="50">
        <v>1075.6500000000001</v>
      </c>
      <c r="AK241" s="50">
        <v>27519.439999999999</v>
      </c>
      <c r="AL241" s="16">
        <f t="shared" ref="AL241:AM241" si="990">AJ241/AJ242-1</f>
        <v>1.0189706987227876E-2</v>
      </c>
      <c r="AM241" s="16">
        <f t="shared" si="990"/>
        <v>7.4015503024644769E-3</v>
      </c>
      <c r="AN241" s="16"/>
      <c r="AO241" s="47">
        <v>45457</v>
      </c>
      <c r="AP241" s="50">
        <v>1370.95</v>
      </c>
      <c r="AQ241" s="50">
        <v>34710.67</v>
      </c>
      <c r="AR241" s="16">
        <f t="shared" ref="AR241:AS241" si="991">AP241/AP242-1</f>
        <v>-1.3775987339040285E-2</v>
      </c>
      <c r="AS241" s="16">
        <f t="shared" si="991"/>
        <v>3.193046049746906E-3</v>
      </c>
    </row>
    <row r="242" spans="1:45" ht="15">
      <c r="A242" s="47">
        <v>44001</v>
      </c>
      <c r="B242" s="48">
        <v>5.8299999999999998E-2</v>
      </c>
      <c r="C242" s="16"/>
      <c r="D242" s="47">
        <v>44362</v>
      </c>
      <c r="E242" s="48">
        <v>6.2E-2</v>
      </c>
      <c r="F242" s="16"/>
      <c r="G242" s="47">
        <v>44725</v>
      </c>
      <c r="H242" s="48">
        <v>7.6100000000000001E-2</v>
      </c>
      <c r="I242" s="16"/>
      <c r="J242" s="47">
        <v>45096</v>
      </c>
      <c r="K242" s="48">
        <v>7.0400000000000004E-2</v>
      </c>
      <c r="L242" s="16"/>
      <c r="M242" s="51">
        <v>45455</v>
      </c>
      <c r="N242" s="48">
        <v>7.0599999999999996E-2</v>
      </c>
      <c r="O242" s="16"/>
      <c r="P242" s="16"/>
      <c r="Q242" s="54">
        <v>44000</v>
      </c>
      <c r="R242" s="49">
        <v>536.1</v>
      </c>
      <c r="S242" s="50">
        <v>14227.14</v>
      </c>
      <c r="T242" s="16">
        <f t="shared" ref="T242:U242" si="992">R242/R243-1</f>
        <v>7.4668657830878615E-4</v>
      </c>
      <c r="U242" s="16">
        <f t="shared" si="992"/>
        <v>2.130527947969707E-2</v>
      </c>
      <c r="V242" s="16"/>
      <c r="W242" s="47">
        <v>44363</v>
      </c>
      <c r="X242" s="50">
        <v>1069.0999999999999</v>
      </c>
      <c r="Y242" s="50">
        <v>22649.05</v>
      </c>
      <c r="Z242" s="16">
        <f t="shared" ref="Z242:AA242" si="993">X242/X243-1</f>
        <v>2.0620489267970665E-3</v>
      </c>
      <c r="AA242" s="16">
        <f t="shared" si="993"/>
        <v>3.6309478705955911E-3</v>
      </c>
      <c r="AB242" s="16"/>
      <c r="AC242" s="47">
        <v>44728</v>
      </c>
      <c r="AD242" s="49">
        <v>975.5</v>
      </c>
      <c r="AE242" s="50">
        <v>22211.98</v>
      </c>
      <c r="AF242" s="16">
        <f t="shared" ref="AF242:AG242" si="994">AD242/AD243-1</f>
        <v>-4.367432968972107E-2</v>
      </c>
      <c r="AG242" s="16">
        <f t="shared" si="994"/>
        <v>-2.1130416465048985E-2</v>
      </c>
      <c r="AH242" s="16"/>
      <c r="AI242" s="51">
        <v>45086</v>
      </c>
      <c r="AJ242" s="50">
        <v>1064.8</v>
      </c>
      <c r="AK242" s="50">
        <v>27317.25</v>
      </c>
      <c r="AL242" s="16">
        <f t="shared" ref="AL242:AM242" si="995">AJ242/AJ243-1</f>
        <v>-6.1601642710473747E-3</v>
      </c>
      <c r="AM242" s="16">
        <f t="shared" si="995"/>
        <v>-3.3154408255655632E-3</v>
      </c>
      <c r="AN242" s="16"/>
      <c r="AO242" s="47">
        <v>45456</v>
      </c>
      <c r="AP242" s="50">
        <v>1390.1</v>
      </c>
      <c r="AQ242" s="50">
        <v>34600.19</v>
      </c>
      <c r="AR242" s="16">
        <f t="shared" ref="AR242:AS242" si="996">AP242/AP243-1</f>
        <v>1.444939064438433E-2</v>
      </c>
      <c r="AS242" s="16">
        <f t="shared" si="996"/>
        <v>3.2565063436780228E-3</v>
      </c>
    </row>
    <row r="243" spans="1:45" ht="15">
      <c r="A243" s="47">
        <v>44000</v>
      </c>
      <c r="B243" s="48">
        <v>5.8200000000000002E-2</v>
      </c>
      <c r="C243" s="16"/>
      <c r="D243" s="47">
        <v>44361</v>
      </c>
      <c r="E243" s="48">
        <v>6.1499999999999999E-2</v>
      </c>
      <c r="F243" s="16"/>
      <c r="G243" s="51">
        <v>44722</v>
      </c>
      <c r="H243" s="48">
        <v>7.5300000000000006E-2</v>
      </c>
      <c r="I243" s="16"/>
      <c r="J243" s="47">
        <v>45093</v>
      </c>
      <c r="K243" s="48">
        <v>7.0499999999999993E-2</v>
      </c>
      <c r="L243" s="16"/>
      <c r="M243" s="51">
        <v>45454</v>
      </c>
      <c r="N243" s="48">
        <v>7.0599999999999996E-2</v>
      </c>
      <c r="O243" s="16"/>
      <c r="P243" s="16"/>
      <c r="Q243" s="54">
        <v>43999</v>
      </c>
      <c r="R243" s="49">
        <v>535.70000000000005</v>
      </c>
      <c r="S243" s="50">
        <v>13930.35</v>
      </c>
      <c r="T243" s="16">
        <f t="shared" ref="T243:U243" si="997">R243/R244-1</f>
        <v>4.9713910514963544E-3</v>
      </c>
      <c r="U243" s="16">
        <f t="shared" si="997"/>
        <v>-3.3112416941708522E-3</v>
      </c>
      <c r="V243" s="16"/>
      <c r="W243" s="47">
        <v>44362</v>
      </c>
      <c r="X243" s="50">
        <v>1066.9000000000001</v>
      </c>
      <c r="Y243" s="50">
        <v>22567.11</v>
      </c>
      <c r="Z243" s="16">
        <f t="shared" ref="Z243:AA243" si="998">X243/X244-1</f>
        <v>-2.1044755179348007E-3</v>
      </c>
      <c r="AA243" s="16">
        <f t="shared" si="998"/>
        <v>1.0135617669420061E-3</v>
      </c>
      <c r="AB243" s="16"/>
      <c r="AC243" s="47">
        <v>44727</v>
      </c>
      <c r="AD243" s="50">
        <v>1020.05</v>
      </c>
      <c r="AE243" s="50">
        <v>22691.46</v>
      </c>
      <c r="AF243" s="16">
        <f t="shared" ref="AF243:AG243" si="999">AD243/AD244-1</f>
        <v>-1.0092677956232809E-2</v>
      </c>
      <c r="AG243" s="16">
        <f t="shared" si="999"/>
        <v>-1.6942389277241343E-3</v>
      </c>
      <c r="AH243" s="16"/>
      <c r="AI243" s="51">
        <v>45085</v>
      </c>
      <c r="AJ243" s="50">
        <v>1071.4000000000001</v>
      </c>
      <c r="AK243" s="50">
        <v>27408.12</v>
      </c>
      <c r="AL243" s="16">
        <f t="shared" ref="AL243:AM243" si="1000">AJ243/AJ244-1</f>
        <v>-2.2132980422580162E-2</v>
      </c>
      <c r="AM243" s="16">
        <f t="shared" si="1000"/>
        <v>2.1217480454360782E-3</v>
      </c>
      <c r="AN243" s="16"/>
      <c r="AO243" s="51">
        <v>45455</v>
      </c>
      <c r="AP243" s="50">
        <v>1370.3</v>
      </c>
      <c r="AQ243" s="50">
        <v>34487.879999999997</v>
      </c>
      <c r="AR243" s="16">
        <f t="shared" ref="AR243:AS243" si="1001">AP243/AP244-1</f>
        <v>1.5601259959236558E-2</v>
      </c>
      <c r="AS243" s="16">
        <f t="shared" si="1001"/>
        <v>2.4963664903201455E-3</v>
      </c>
    </row>
    <row r="244" spans="1:45" ht="15">
      <c r="A244" s="47">
        <v>43999</v>
      </c>
      <c r="B244" s="48">
        <v>5.8400000000000001E-2</v>
      </c>
      <c r="C244" s="16"/>
      <c r="D244" s="51">
        <v>44358</v>
      </c>
      <c r="E244" s="48">
        <v>6.1400000000000003E-2</v>
      </c>
      <c r="F244" s="16"/>
      <c r="G244" s="51">
        <v>44721</v>
      </c>
      <c r="H244" s="48">
        <v>7.51E-2</v>
      </c>
      <c r="I244" s="16"/>
      <c r="J244" s="47">
        <v>45092</v>
      </c>
      <c r="K244" s="48">
        <v>7.0199999999999999E-2</v>
      </c>
      <c r="L244" s="16"/>
      <c r="M244" s="51">
        <v>45453</v>
      </c>
      <c r="N244" s="48">
        <v>7.0800000000000002E-2</v>
      </c>
      <c r="O244" s="16"/>
      <c r="P244" s="16"/>
      <c r="Q244" s="54">
        <v>43998</v>
      </c>
      <c r="R244" s="49">
        <v>533.04999999999995</v>
      </c>
      <c r="S244" s="50">
        <v>13976.63</v>
      </c>
      <c r="T244" s="16">
        <f t="shared" ref="T244:U244" si="1002">R244/R245-1</f>
        <v>-2.7458492975734439E-2</v>
      </c>
      <c r="U244" s="16">
        <f t="shared" si="1002"/>
        <v>1.0217364749657953E-2</v>
      </c>
      <c r="V244" s="16"/>
      <c r="W244" s="47">
        <v>44361</v>
      </c>
      <c r="X244" s="50">
        <v>1069.1500000000001</v>
      </c>
      <c r="Y244" s="50">
        <v>22544.26</v>
      </c>
      <c r="Z244" s="16">
        <f t="shared" ref="Z244:AA244" si="1003">X244/X245-1</f>
        <v>-3.9129827176594967E-3</v>
      </c>
      <c r="AA244" s="16">
        <f t="shared" si="1003"/>
        <v>4.2460802158141853E-3</v>
      </c>
      <c r="AB244" s="16"/>
      <c r="AC244" s="47">
        <v>44726</v>
      </c>
      <c r="AD244" s="50">
        <v>1030.45</v>
      </c>
      <c r="AE244" s="50">
        <v>22729.97</v>
      </c>
      <c r="AF244" s="16">
        <f t="shared" ref="AF244:AG244" si="1004">AD244/AD245-1</f>
        <v>-2.0810566826625965E-2</v>
      </c>
      <c r="AG244" s="16">
        <f t="shared" si="1004"/>
        <v>-2.6830625261066166E-3</v>
      </c>
      <c r="AH244" s="16"/>
      <c r="AI244" s="51">
        <v>45084</v>
      </c>
      <c r="AJ244" s="50">
        <v>1095.6500000000001</v>
      </c>
      <c r="AK244" s="50">
        <v>27350.09</v>
      </c>
      <c r="AL244" s="16">
        <f t="shared" ref="AL244:AM244" si="1005">AJ244/AJ245-1</f>
        <v>8.9787273229580133E-3</v>
      </c>
      <c r="AM244" s="16">
        <f t="shared" si="1005"/>
        <v>6.1635129890316165E-3</v>
      </c>
      <c r="AN244" s="16"/>
      <c r="AO244" s="51">
        <v>45454</v>
      </c>
      <c r="AP244" s="50">
        <v>1349.25</v>
      </c>
      <c r="AQ244" s="50">
        <v>34402</v>
      </c>
      <c r="AR244" s="16">
        <f t="shared" ref="AR244:AS244" si="1006">AP244/AP245-1</f>
        <v>6.8654154695719782E-3</v>
      </c>
      <c r="AS244" s="16">
        <f t="shared" si="1006"/>
        <v>4.6996089087847359E-4</v>
      </c>
    </row>
    <row r="245" spans="1:45" ht="15">
      <c r="A245" s="47">
        <v>43998</v>
      </c>
      <c r="B245" s="48">
        <v>5.8500000000000003E-2</v>
      </c>
      <c r="C245" s="16"/>
      <c r="D245" s="51">
        <v>44357</v>
      </c>
      <c r="E245" s="48">
        <v>6.1499999999999999E-2</v>
      </c>
      <c r="F245" s="16"/>
      <c r="G245" s="51">
        <v>44720</v>
      </c>
      <c r="H245" s="48">
        <v>7.4899999999999994E-2</v>
      </c>
      <c r="I245" s="16"/>
      <c r="J245" s="47">
        <v>45091</v>
      </c>
      <c r="K245" s="48">
        <v>7.0199999999999999E-2</v>
      </c>
      <c r="L245" s="16"/>
      <c r="M245" s="51">
        <v>45450</v>
      </c>
      <c r="N245" s="48">
        <v>7.0699999999999999E-2</v>
      </c>
      <c r="O245" s="16"/>
      <c r="P245" s="16"/>
      <c r="Q245" s="54">
        <v>43997</v>
      </c>
      <c r="R245" s="49">
        <v>548.1</v>
      </c>
      <c r="S245" s="50">
        <v>13835.27</v>
      </c>
      <c r="T245" s="16">
        <f t="shared" ref="T245:U245" si="1007">R245/R246-1</f>
        <v>-1.2165450121654486E-2</v>
      </c>
      <c r="U245" s="16">
        <f t="shared" si="1007"/>
        <v>-1.5961945106897857E-2</v>
      </c>
      <c r="V245" s="16"/>
      <c r="W245" s="51">
        <v>44358</v>
      </c>
      <c r="X245" s="50">
        <v>1073.3499999999999</v>
      </c>
      <c r="Y245" s="50">
        <v>22448.94</v>
      </c>
      <c r="Z245" s="16">
        <f t="shared" ref="Z245:AA245" si="1008">X245/X246-1</f>
        <v>8.835001644813989E-3</v>
      </c>
      <c r="AA245" s="16">
        <f t="shared" si="1008"/>
        <v>7.4234232293639568E-3</v>
      </c>
      <c r="AB245" s="16"/>
      <c r="AC245" s="47">
        <v>44725</v>
      </c>
      <c r="AD245" s="50">
        <v>1052.3499999999999</v>
      </c>
      <c r="AE245" s="50">
        <v>22791.119999999999</v>
      </c>
      <c r="AF245" s="16">
        <f t="shared" ref="AF245:AG245" si="1009">AD245/AD246-1</f>
        <v>-5.2150416572844027E-2</v>
      </c>
      <c r="AG245" s="16">
        <f t="shared" si="1009"/>
        <v>-2.6377923659648084E-2</v>
      </c>
      <c r="AH245" s="16"/>
      <c r="AI245" s="51">
        <v>45083</v>
      </c>
      <c r="AJ245" s="50">
        <v>1085.9000000000001</v>
      </c>
      <c r="AK245" s="50">
        <v>27182.55</v>
      </c>
      <c r="AL245" s="16">
        <f t="shared" ref="AL245:AM245" si="1010">AJ245/AJ246-1</f>
        <v>-2.1050259184133391E-2</v>
      </c>
      <c r="AM245" s="16">
        <f t="shared" si="1010"/>
        <v>2.0529467841099436E-3</v>
      </c>
      <c r="AN245" s="16"/>
      <c r="AO245" s="51">
        <v>45453</v>
      </c>
      <c r="AP245" s="50">
        <v>1340.05</v>
      </c>
      <c r="AQ245" s="50">
        <v>34385.839999999997</v>
      </c>
      <c r="AR245" s="16">
        <f t="shared" ref="AR245:AS245" si="1011">AP245/AP246-1</f>
        <v>-2.7186932849364798E-2</v>
      </c>
      <c r="AS245" s="16">
        <f t="shared" si="1011"/>
        <v>-1.3293017666035079E-3</v>
      </c>
    </row>
    <row r="246" spans="1:45" ht="15">
      <c r="A246" s="47">
        <v>43997</v>
      </c>
      <c r="B246" s="48">
        <v>5.8000000000000003E-2</v>
      </c>
      <c r="C246" s="16"/>
      <c r="D246" s="51">
        <v>44356</v>
      </c>
      <c r="E246" s="48">
        <v>6.1499999999999999E-2</v>
      </c>
      <c r="F246" s="16"/>
      <c r="G246" s="51">
        <v>44719</v>
      </c>
      <c r="H246" s="48">
        <v>7.5200000000000003E-2</v>
      </c>
      <c r="I246" s="16"/>
      <c r="J246" s="47">
        <v>45090</v>
      </c>
      <c r="K246" s="48">
        <v>7.0699999999999999E-2</v>
      </c>
      <c r="L246" s="16"/>
      <c r="M246" s="51">
        <v>45449</v>
      </c>
      <c r="N246" s="48">
        <v>7.0599999999999996E-2</v>
      </c>
      <c r="O246" s="16"/>
      <c r="P246" s="16"/>
      <c r="Q246" s="51">
        <v>43994</v>
      </c>
      <c r="R246" s="49">
        <v>554.85</v>
      </c>
      <c r="S246" s="50">
        <v>14059.69</v>
      </c>
      <c r="T246" s="16">
        <f t="shared" ref="T246:U246" si="1012">R246/R247-1</f>
        <v>-2.9558373414954042E-2</v>
      </c>
      <c r="U246" s="16">
        <f t="shared" si="1012"/>
        <v>7.1605969456429719E-3</v>
      </c>
      <c r="V246" s="16"/>
      <c r="W246" s="51">
        <v>44357</v>
      </c>
      <c r="X246" s="50">
        <v>1063.95</v>
      </c>
      <c r="Y246" s="50">
        <v>22283.52</v>
      </c>
      <c r="Z246" s="16">
        <f t="shared" ref="Z246:AA246" si="1013">X246/X247-1</f>
        <v>1.1455461545774259E-2</v>
      </c>
      <c r="AA246" s="16">
        <f t="shared" si="1013"/>
        <v>-6.6532131341782152E-3</v>
      </c>
      <c r="AB246" s="16"/>
      <c r="AC246" s="51">
        <v>44722</v>
      </c>
      <c r="AD246" s="50">
        <v>1110.25</v>
      </c>
      <c r="AE246" s="50">
        <v>23408.59</v>
      </c>
      <c r="AF246" s="16">
        <f t="shared" ref="AF246:AG246" si="1014">AD246/AD247-1</f>
        <v>-2.5070249385317878E-2</v>
      </c>
      <c r="AG246" s="16">
        <f t="shared" si="1014"/>
        <v>-1.6769685952190527E-2</v>
      </c>
      <c r="AH246" s="16"/>
      <c r="AI246" s="51">
        <v>45082</v>
      </c>
      <c r="AJ246" s="50">
        <v>1109.25</v>
      </c>
      <c r="AK246" s="50">
        <v>27126.86</v>
      </c>
      <c r="AL246" s="16">
        <f t="shared" ref="AL246:AM246" si="1015">AJ246/AJ247-1</f>
        <v>-1.1627906976744096E-2</v>
      </c>
      <c r="AM246" s="16">
        <f t="shared" si="1015"/>
        <v>-3.6995562221996403E-3</v>
      </c>
      <c r="AN246" s="16"/>
      <c r="AO246" s="51">
        <v>45450</v>
      </c>
      <c r="AP246" s="50">
        <v>1377.5</v>
      </c>
      <c r="AQ246" s="50">
        <v>34431.61</v>
      </c>
      <c r="AR246" s="16">
        <f t="shared" ref="AR246:AS246" si="1016">AP246/AP247-1</f>
        <v>4.5025224746804149E-2</v>
      </c>
      <c r="AS246" s="16">
        <f t="shared" si="1016"/>
        <v>2.0541172746452174E-2</v>
      </c>
    </row>
    <row r="247" spans="1:45" ht="15">
      <c r="A247" s="51">
        <v>43994</v>
      </c>
      <c r="B247" s="48">
        <v>5.8000000000000003E-2</v>
      </c>
      <c r="C247" s="16"/>
      <c r="D247" s="51">
        <v>44355</v>
      </c>
      <c r="E247" s="48">
        <v>6.1499999999999999E-2</v>
      </c>
      <c r="F247" s="16"/>
      <c r="G247" s="51">
        <v>44718</v>
      </c>
      <c r="H247" s="48">
        <v>7.51E-2</v>
      </c>
      <c r="I247" s="16"/>
      <c r="J247" s="51">
        <v>45089</v>
      </c>
      <c r="K247" s="48">
        <v>7.0199999999999999E-2</v>
      </c>
      <c r="L247" s="16"/>
      <c r="M247" s="51">
        <v>45448</v>
      </c>
      <c r="N247" s="48">
        <v>7.0900000000000005E-2</v>
      </c>
      <c r="O247" s="16"/>
      <c r="P247" s="16"/>
      <c r="Q247" s="51">
        <v>43993</v>
      </c>
      <c r="R247" s="49">
        <v>571.75</v>
      </c>
      <c r="S247" s="50">
        <v>13959.73</v>
      </c>
      <c r="T247" s="16">
        <f t="shared" ref="T247:U247" si="1017">R247/R248-1</f>
        <v>-3.1424699305437787E-2</v>
      </c>
      <c r="U247" s="16">
        <f t="shared" si="1017"/>
        <v>-2.1119269387437467E-2</v>
      </c>
      <c r="V247" s="16"/>
      <c r="W247" s="51">
        <v>44356</v>
      </c>
      <c r="X247" s="50">
        <v>1051.9000000000001</v>
      </c>
      <c r="Y247" s="50">
        <v>22432.77</v>
      </c>
      <c r="Z247" s="16">
        <f t="shared" ref="Z247:AA247" si="1018">X247/X248-1</f>
        <v>-6.2821784516554624E-3</v>
      </c>
      <c r="AA247" s="16">
        <f t="shared" si="1018"/>
        <v>-7.3365512596423876E-4</v>
      </c>
      <c r="AB247" s="16"/>
      <c r="AC247" s="51">
        <v>44721</v>
      </c>
      <c r="AD247" s="50">
        <v>1138.8</v>
      </c>
      <c r="AE247" s="50">
        <v>23807.84</v>
      </c>
      <c r="AF247" s="16">
        <f t="shared" ref="AF247:AG247" si="1019">AD247/AD248-1</f>
        <v>1.3122192073306449E-2</v>
      </c>
      <c r="AG247" s="16">
        <f t="shared" si="1019"/>
        <v>7.597662466057642E-3</v>
      </c>
      <c r="AH247" s="16"/>
      <c r="AI247" s="51">
        <v>45079</v>
      </c>
      <c r="AJ247" s="50">
        <v>1122.3</v>
      </c>
      <c r="AK247" s="50">
        <v>27227.59</v>
      </c>
      <c r="AL247" s="16">
        <f t="shared" ref="AL247:AM247" si="1020">AJ247/AJ248-1</f>
        <v>1.2043356081894441E-3</v>
      </c>
      <c r="AM247" s="16">
        <f t="shared" si="1020"/>
        <v>-4.9068319576344166E-3</v>
      </c>
      <c r="AN247" s="16"/>
      <c r="AO247" s="51">
        <v>45449</v>
      </c>
      <c r="AP247" s="50">
        <v>1318.15</v>
      </c>
      <c r="AQ247" s="50">
        <v>33738.58</v>
      </c>
      <c r="AR247" s="16">
        <f t="shared" ref="AR247:AS247" si="1021">AP247/AP248-1</f>
        <v>4.0740594528443586E-2</v>
      </c>
      <c r="AS247" s="16">
        <f t="shared" si="1021"/>
        <v>8.8865896762695407E-3</v>
      </c>
    </row>
    <row r="248" spans="1:45" ht="15">
      <c r="A248" s="51">
        <v>43993</v>
      </c>
      <c r="B248" s="48">
        <v>5.7799999999999997E-2</v>
      </c>
      <c r="C248" s="16"/>
      <c r="D248" s="51">
        <v>44354</v>
      </c>
      <c r="E248" s="48">
        <v>6.1800000000000001E-2</v>
      </c>
      <c r="F248" s="16"/>
      <c r="G248" s="51">
        <v>44715</v>
      </c>
      <c r="H248" s="48">
        <v>7.4700000000000003E-2</v>
      </c>
      <c r="I248" s="16"/>
      <c r="J248" s="51">
        <v>45086</v>
      </c>
      <c r="K248" s="48">
        <v>7.0400000000000004E-2</v>
      </c>
      <c r="L248" s="16"/>
      <c r="M248" s="51">
        <v>45447</v>
      </c>
      <c r="N248" s="48">
        <v>7.1099999999999997E-2</v>
      </c>
      <c r="O248" s="16"/>
      <c r="P248" s="16"/>
      <c r="Q248" s="51">
        <v>43992</v>
      </c>
      <c r="R248" s="49">
        <v>590.29999999999995</v>
      </c>
      <c r="S248" s="50">
        <v>14260.91</v>
      </c>
      <c r="T248" s="16">
        <f t="shared" ref="T248:U248" si="1022">R248/R249-1</f>
        <v>7.6818026630249836E-3</v>
      </c>
      <c r="U248" s="16">
        <f t="shared" si="1022"/>
        <v>6.9201928983471106E-3</v>
      </c>
      <c r="V248" s="16"/>
      <c r="W248" s="51">
        <v>44355</v>
      </c>
      <c r="X248" s="50">
        <v>1058.55</v>
      </c>
      <c r="Y248" s="50">
        <v>22449.24</v>
      </c>
      <c r="Z248" s="16">
        <f t="shared" ref="Z248:AA248" si="1023">X248/X249-1</f>
        <v>2.5329329717163729E-2</v>
      </c>
      <c r="AA248" s="16">
        <f t="shared" si="1023"/>
        <v>5.1945016462018323E-3</v>
      </c>
      <c r="AB248" s="16"/>
      <c r="AC248" s="51">
        <v>44720</v>
      </c>
      <c r="AD248" s="50">
        <v>1124.05</v>
      </c>
      <c r="AE248" s="50">
        <v>23628.32</v>
      </c>
      <c r="AF248" s="16">
        <f t="shared" ref="AF248:AG248" si="1024">AD248/AD249-1</f>
        <v>-5.7054400707652331E-3</v>
      </c>
      <c r="AG248" s="16">
        <f t="shared" si="1024"/>
        <v>-3.6592719406621788E-3</v>
      </c>
      <c r="AH248" s="16"/>
      <c r="AI248" s="51">
        <v>45078</v>
      </c>
      <c r="AJ248" s="50">
        <v>1120.95</v>
      </c>
      <c r="AK248" s="50">
        <v>27361.85</v>
      </c>
      <c r="AL248" s="16">
        <f t="shared" ref="AL248:AM248" si="1025">AJ248/AJ249-1</f>
        <v>2.8628942071124985E-3</v>
      </c>
      <c r="AM248" s="16">
        <f t="shared" si="1025"/>
        <v>6.8498695525780473E-3</v>
      </c>
      <c r="AN248" s="16"/>
      <c r="AO248" s="51">
        <v>45448</v>
      </c>
      <c r="AP248" s="50">
        <v>1266.55</v>
      </c>
      <c r="AQ248" s="50">
        <v>33441.4</v>
      </c>
      <c r="AR248" s="16">
        <f t="shared" ref="AR248:AS248" si="1026">AP248/AP249-1</f>
        <v>2.4136815719252747E-2</v>
      </c>
      <c r="AS248" s="16">
        <f t="shared" si="1026"/>
        <v>3.3625419197304884E-2</v>
      </c>
    </row>
    <row r="249" spans="1:45" ht="15">
      <c r="A249" s="51">
        <v>43992</v>
      </c>
      <c r="B249" s="48">
        <v>5.7799999999999997E-2</v>
      </c>
      <c r="C249" s="16"/>
      <c r="D249" s="51">
        <v>44351</v>
      </c>
      <c r="E249" s="48">
        <v>6.2E-2</v>
      </c>
      <c r="F249" s="16"/>
      <c r="G249" s="51">
        <v>44714</v>
      </c>
      <c r="H249" s="48">
        <v>7.4399999999999994E-2</v>
      </c>
      <c r="I249" s="16"/>
      <c r="J249" s="51">
        <v>45085</v>
      </c>
      <c r="K249" s="48">
        <v>7.0099999999999996E-2</v>
      </c>
      <c r="L249" s="16"/>
      <c r="M249" s="51">
        <v>45446</v>
      </c>
      <c r="N249" s="48">
        <v>7.0099999999999996E-2</v>
      </c>
      <c r="O249" s="16"/>
      <c r="P249" s="16"/>
      <c r="Q249" s="52">
        <v>43991</v>
      </c>
      <c r="R249" s="49">
        <v>585.79999999999995</v>
      </c>
      <c r="S249" s="50">
        <v>14162.9</v>
      </c>
      <c r="T249" s="16">
        <f t="shared" ref="T249:U249" si="1027">R249/R250-1</f>
        <v>-8.4631008801624441E-3</v>
      </c>
      <c r="U249" s="16">
        <f t="shared" si="1027"/>
        <v>-1.1881505874473341E-2</v>
      </c>
      <c r="V249" s="16"/>
      <c r="W249" s="51">
        <v>44354</v>
      </c>
      <c r="X249" s="50">
        <v>1032.4000000000001</v>
      </c>
      <c r="Y249" s="50">
        <v>22333.23</v>
      </c>
      <c r="Z249" s="16">
        <f t="shared" ref="Z249:AA249" si="1028">X249/X250-1</f>
        <v>1.3398773006135123E-2</v>
      </c>
      <c r="AA249" s="16">
        <f t="shared" si="1028"/>
        <v>-1.2803049477995154E-3</v>
      </c>
      <c r="AB249" s="16"/>
      <c r="AC249" s="51">
        <v>44719</v>
      </c>
      <c r="AD249" s="50">
        <v>1130.5</v>
      </c>
      <c r="AE249" s="50">
        <v>23715.1</v>
      </c>
      <c r="AF249" s="16">
        <f t="shared" ref="AF249:AG249" si="1029">AD249/AD250-1</f>
        <v>-1.2836185819070978E-2</v>
      </c>
      <c r="AG249" s="16">
        <f t="shared" si="1029"/>
        <v>-9.2469891094916212E-3</v>
      </c>
      <c r="AH249" s="16"/>
      <c r="AI249" s="47">
        <v>45077</v>
      </c>
      <c r="AJ249" s="50">
        <v>1117.75</v>
      </c>
      <c r="AK249" s="50">
        <v>27175.7</v>
      </c>
      <c r="AL249" s="16">
        <f t="shared" ref="AL249:AM249" si="1030">AJ249/AJ250-1</f>
        <v>1.6968428714402739E-2</v>
      </c>
      <c r="AM249" s="16">
        <f t="shared" si="1030"/>
        <v>2.7863529804950105E-4</v>
      </c>
      <c r="AN249" s="16"/>
      <c r="AO249" s="51">
        <v>45447</v>
      </c>
      <c r="AP249" s="50">
        <v>1236.7</v>
      </c>
      <c r="AQ249" s="50">
        <v>32353.5</v>
      </c>
      <c r="AR249" s="16">
        <f t="shared" ref="AR249:AS249" si="1031">AP249/AP250-1</f>
        <v>-6.9059664337909332E-3</v>
      </c>
      <c r="AS249" s="16">
        <f t="shared" si="1031"/>
        <v>-5.8646523784570581E-2</v>
      </c>
    </row>
    <row r="250" spans="1:45" ht="15">
      <c r="A250" s="51">
        <v>43991</v>
      </c>
      <c r="B250" s="48">
        <v>5.7799999999999997E-2</v>
      </c>
      <c r="C250" s="16"/>
      <c r="D250" s="51">
        <v>44350</v>
      </c>
      <c r="E250" s="48">
        <v>6.1899999999999997E-2</v>
      </c>
      <c r="F250" s="16"/>
      <c r="G250" s="51">
        <v>44713</v>
      </c>
      <c r="H250" s="48">
        <v>7.4200000000000002E-2</v>
      </c>
      <c r="I250" s="16"/>
      <c r="J250" s="51">
        <v>45084</v>
      </c>
      <c r="K250" s="48">
        <v>6.9800000000000001E-2</v>
      </c>
      <c r="L250" s="16"/>
      <c r="M250" s="47">
        <v>45443</v>
      </c>
      <c r="N250" s="48">
        <v>7.0499999999999993E-2</v>
      </c>
      <c r="O250" s="16"/>
      <c r="P250" s="16"/>
      <c r="Q250" s="52">
        <v>43990</v>
      </c>
      <c r="R250" s="49">
        <v>590.79999999999995</v>
      </c>
      <c r="S250" s="50">
        <v>14333.2</v>
      </c>
      <c r="T250" s="16">
        <f t="shared" ref="T250:U250" si="1032">R250/R251-1</f>
        <v>1.8708509354254499E-2</v>
      </c>
      <c r="U250" s="16">
        <f t="shared" si="1032"/>
        <v>2.4934341897737688E-3</v>
      </c>
      <c r="V250" s="16"/>
      <c r="W250" s="51">
        <v>44351</v>
      </c>
      <c r="X250" s="50">
        <v>1018.75</v>
      </c>
      <c r="Y250" s="50">
        <v>22361.86</v>
      </c>
      <c r="Z250" s="16">
        <f t="shared" ref="Z250:AA250" si="1033">X250/X251-1</f>
        <v>4.7835092218166952E-3</v>
      </c>
      <c r="AA250" s="16">
        <f t="shared" si="1033"/>
        <v>7.5551338233716958E-3</v>
      </c>
      <c r="AB250" s="16"/>
      <c r="AC250" s="51">
        <v>44718</v>
      </c>
      <c r="AD250" s="50">
        <v>1145.2</v>
      </c>
      <c r="AE250" s="50">
        <v>23936.44</v>
      </c>
      <c r="AF250" s="16">
        <f t="shared" ref="AF250:AG250" si="1034">AD250/AD251-1</f>
        <v>-2.3521212649185719E-3</v>
      </c>
      <c r="AG250" s="16">
        <f t="shared" si="1034"/>
        <v>-8.8781440296259451E-4</v>
      </c>
      <c r="AH250" s="16"/>
      <c r="AI250" s="47">
        <v>45076</v>
      </c>
      <c r="AJ250" s="50">
        <v>1099.0999999999999</v>
      </c>
      <c r="AK250" s="50">
        <v>27168.13</v>
      </c>
      <c r="AL250" s="16">
        <f t="shared" ref="AL250:AM250" si="1035">AJ250/AJ251-1</f>
        <v>-1.2710532225466031E-2</v>
      </c>
      <c r="AM250" s="16">
        <f t="shared" si="1035"/>
        <v>3.2222007638602612E-3</v>
      </c>
      <c r="AN250" s="16"/>
      <c r="AO250" s="51">
        <v>45446</v>
      </c>
      <c r="AP250" s="50">
        <v>1245.3</v>
      </c>
      <c r="AQ250" s="50">
        <v>34369.129999999997</v>
      </c>
      <c r="AR250" s="16">
        <f t="shared" ref="AR250:AS250" si="1036">AP250/AP251-1</f>
        <v>1.3386499572771271E-2</v>
      </c>
      <c r="AS250" s="16">
        <f t="shared" si="1036"/>
        <v>3.2543208986387517E-2</v>
      </c>
    </row>
    <row r="251" spans="1:45" ht="15">
      <c r="A251" s="51">
        <v>43990</v>
      </c>
      <c r="B251" s="48">
        <v>5.8099999999999999E-2</v>
      </c>
      <c r="C251" s="16"/>
      <c r="D251" s="51">
        <v>44349</v>
      </c>
      <c r="E251" s="48">
        <v>6.1899999999999997E-2</v>
      </c>
      <c r="F251" s="16"/>
      <c r="G251" s="47">
        <v>44712</v>
      </c>
      <c r="H251" s="48">
        <v>7.4200000000000002E-2</v>
      </c>
      <c r="I251" s="16"/>
      <c r="J251" s="51">
        <v>45083</v>
      </c>
      <c r="K251" s="48">
        <v>6.9800000000000001E-2</v>
      </c>
      <c r="L251" s="16"/>
      <c r="M251" s="47">
        <v>45442</v>
      </c>
      <c r="N251" s="48">
        <v>7.0599999999999996E-2</v>
      </c>
      <c r="O251" s="16"/>
      <c r="P251" s="16"/>
      <c r="Q251" s="52">
        <v>43987</v>
      </c>
      <c r="R251" s="49">
        <v>579.95000000000005</v>
      </c>
      <c r="S251" s="50">
        <v>14297.55</v>
      </c>
      <c r="T251" s="16">
        <f t="shared" ref="T251:U251" si="1037">R251/R252-1</f>
        <v>-4.2922139239419677E-3</v>
      </c>
      <c r="U251" s="16">
        <f t="shared" si="1037"/>
        <v>1.1271598415355744E-2</v>
      </c>
      <c r="V251" s="16"/>
      <c r="W251" s="51">
        <v>44350</v>
      </c>
      <c r="X251" s="50">
        <v>1013.9</v>
      </c>
      <c r="Y251" s="50">
        <v>22194.18</v>
      </c>
      <c r="Z251" s="16">
        <f t="shared" ref="Z251:AA251" si="1038">X251/X252-1</f>
        <v>-2.950142590225191E-3</v>
      </c>
      <c r="AA251" s="16">
        <f t="shared" si="1038"/>
        <v>8.6967297141971045E-5</v>
      </c>
      <c r="AB251" s="16"/>
      <c r="AC251" s="51">
        <v>44715</v>
      </c>
      <c r="AD251" s="50">
        <v>1147.9000000000001</v>
      </c>
      <c r="AE251" s="50">
        <v>23957.71</v>
      </c>
      <c r="AF251" s="16">
        <f t="shared" ref="AF251:AG251" si="1039">AD251/AD252-1</f>
        <v>1.5268507612442583E-3</v>
      </c>
      <c r="AG251" s="16">
        <f t="shared" si="1039"/>
        <v>-2.630210620838791E-3</v>
      </c>
      <c r="AH251" s="16"/>
      <c r="AI251" s="47">
        <v>45075</v>
      </c>
      <c r="AJ251" s="50">
        <v>1113.25</v>
      </c>
      <c r="AK251" s="50">
        <v>27080.87</v>
      </c>
      <c r="AL251" s="16">
        <f t="shared" ref="AL251:AM251" si="1040">AJ251/AJ252-1</f>
        <v>-1.7485652797705198E-3</v>
      </c>
      <c r="AM251" s="16">
        <f t="shared" si="1040"/>
        <v>3.3909671777943018E-3</v>
      </c>
      <c r="AN251" s="16"/>
      <c r="AO251" s="47">
        <v>45443</v>
      </c>
      <c r="AP251" s="50">
        <v>1228.8499999999999</v>
      </c>
      <c r="AQ251" s="50">
        <v>33285.9</v>
      </c>
      <c r="AR251" s="16">
        <f t="shared" ref="AR251:AS251" si="1041">AP251/AP252-1</f>
        <v>-9.1916952227374393E-3</v>
      </c>
      <c r="AS251" s="16">
        <f t="shared" si="1041"/>
        <v>2.878848822022162E-3</v>
      </c>
    </row>
    <row r="252" spans="1:45" ht="15">
      <c r="A252" s="51">
        <v>43987</v>
      </c>
      <c r="B252" s="48">
        <v>5.8400000000000001E-2</v>
      </c>
      <c r="C252" s="16"/>
      <c r="D252" s="51">
        <v>44348</v>
      </c>
      <c r="E252" s="48">
        <v>6.2E-2</v>
      </c>
      <c r="F252" s="16"/>
      <c r="G252" s="47">
        <v>44711</v>
      </c>
      <c r="H252" s="48">
        <v>7.4099999999999999E-2</v>
      </c>
      <c r="I252" s="16"/>
      <c r="J252" s="51">
        <v>45082</v>
      </c>
      <c r="K252" s="48">
        <v>7.0000000000000007E-2</v>
      </c>
      <c r="L252" s="16"/>
      <c r="M252" s="47">
        <v>45441</v>
      </c>
      <c r="N252" s="48">
        <v>7.0699999999999999E-2</v>
      </c>
      <c r="O252" s="16"/>
      <c r="P252" s="16"/>
      <c r="Q252" s="52">
        <v>43986</v>
      </c>
      <c r="R252" s="49">
        <v>582.45000000000005</v>
      </c>
      <c r="S252" s="50">
        <v>14138.19</v>
      </c>
      <c r="T252" s="16">
        <f t="shared" ref="T252:U252" si="1042">R252/R253-1</f>
        <v>5.3445469343461838E-2</v>
      </c>
      <c r="U252" s="16">
        <f t="shared" si="1042"/>
        <v>-3.2261817053782504E-3</v>
      </c>
      <c r="V252" s="16"/>
      <c r="W252" s="51">
        <v>44349</v>
      </c>
      <c r="X252" s="50">
        <v>1016.9</v>
      </c>
      <c r="Y252" s="50">
        <v>22192.25</v>
      </c>
      <c r="Z252" s="16">
        <f t="shared" ref="Z252:AA252" si="1043">X252/X253-1</f>
        <v>-1.3101708074534257E-2</v>
      </c>
      <c r="AA252" s="16">
        <f t="shared" si="1043"/>
        <v>-5.1072822007613983E-4</v>
      </c>
      <c r="AB252" s="16"/>
      <c r="AC252" s="51">
        <v>44714</v>
      </c>
      <c r="AD252" s="50">
        <v>1146.1500000000001</v>
      </c>
      <c r="AE252" s="50">
        <v>24020.89</v>
      </c>
      <c r="AF252" s="16">
        <f t="shared" ref="AF252:AG252" si="1044">AD252/AD253-1</f>
        <v>-7.8462142016466618E-4</v>
      </c>
      <c r="AG252" s="16">
        <f t="shared" si="1044"/>
        <v>6.3698083485379531E-3</v>
      </c>
      <c r="AH252" s="16"/>
      <c r="AI252" s="47">
        <v>45072</v>
      </c>
      <c r="AJ252" s="50">
        <v>1115.2</v>
      </c>
      <c r="AK252" s="50">
        <v>26989.35</v>
      </c>
      <c r="AL252" s="16">
        <f t="shared" ref="AL252:AM252" si="1045">AJ252/AJ253-1</f>
        <v>1.5664845173041897E-2</v>
      </c>
      <c r="AM252" s="16">
        <f t="shared" si="1045"/>
        <v>-2.5164982348663267E-3</v>
      </c>
      <c r="AN252" s="16"/>
      <c r="AO252" s="47">
        <v>45442</v>
      </c>
      <c r="AP252" s="50">
        <v>1240.25</v>
      </c>
      <c r="AQ252" s="50">
        <v>33190.35</v>
      </c>
      <c r="AR252" s="16">
        <f t="shared" ref="AR252:AS252" si="1046">AP252/AP253-1</f>
        <v>-3.5425416083372241E-2</v>
      </c>
      <c r="AS252" s="16">
        <f t="shared" si="1046"/>
        <v>-9.5161840483951599E-3</v>
      </c>
    </row>
    <row r="253" spans="1:45" ht="15">
      <c r="A253" s="51">
        <v>43986</v>
      </c>
      <c r="B253" s="48">
        <v>5.8099999999999999E-2</v>
      </c>
      <c r="C253" s="16"/>
      <c r="D253" s="47">
        <v>44347</v>
      </c>
      <c r="E253" s="48">
        <v>6.2100000000000002E-2</v>
      </c>
      <c r="F253" s="16"/>
      <c r="G253" s="47">
        <v>44708</v>
      </c>
      <c r="H253" s="48">
        <v>7.3700000000000002E-2</v>
      </c>
      <c r="I253" s="16"/>
      <c r="J253" s="51">
        <v>45079</v>
      </c>
      <c r="K253" s="48">
        <v>6.9800000000000001E-2</v>
      </c>
      <c r="L253" s="16"/>
      <c r="M253" s="47">
        <v>45440</v>
      </c>
      <c r="N253" s="48">
        <v>7.0499999999999993E-2</v>
      </c>
      <c r="O253" s="16"/>
      <c r="P253" s="16"/>
      <c r="Q253" s="52">
        <v>43985</v>
      </c>
      <c r="R253" s="49">
        <v>552.9</v>
      </c>
      <c r="S253" s="50">
        <v>14183.95</v>
      </c>
      <c r="T253" s="16">
        <f t="shared" ref="T253:U253" si="1047">R253/R254-1</f>
        <v>9.770797187471425E-3</v>
      </c>
      <c r="U253" s="16">
        <f t="shared" si="1047"/>
        <v>8.4170129024370155E-3</v>
      </c>
      <c r="V253" s="16"/>
      <c r="W253" s="51">
        <v>44348</v>
      </c>
      <c r="X253" s="50">
        <v>1030.4000000000001</v>
      </c>
      <c r="Y253" s="50">
        <v>22203.59</v>
      </c>
      <c r="Z253" s="16">
        <f t="shared" ref="Z253:AA253" si="1048">X253/X254-1</f>
        <v>8.3671771786466564E-3</v>
      </c>
      <c r="AA253" s="16">
        <f t="shared" si="1048"/>
        <v>1.0986093903601057E-2</v>
      </c>
      <c r="AB253" s="16"/>
      <c r="AC253" s="51">
        <v>44713</v>
      </c>
      <c r="AD253" s="50">
        <v>1147.05</v>
      </c>
      <c r="AE253" s="50">
        <v>23868.85</v>
      </c>
      <c r="AF253" s="16">
        <f t="shared" ref="AF253:AG253" si="1049">AD253/AD254-1</f>
        <v>-2.8623449210314567E-2</v>
      </c>
      <c r="AG253" s="16">
        <f t="shared" si="1049"/>
        <v>-3.7252536720357998E-3</v>
      </c>
      <c r="AH253" s="16"/>
      <c r="AI253" s="47">
        <v>45071</v>
      </c>
      <c r="AJ253" s="50">
        <v>1098</v>
      </c>
      <c r="AK253" s="50">
        <v>27057.439999999999</v>
      </c>
      <c r="AL253" s="16">
        <f t="shared" ref="AL253:AM253" si="1050">AJ253/AJ254-1</f>
        <v>-1.6820475519387923E-3</v>
      </c>
      <c r="AM253" s="16">
        <f t="shared" si="1050"/>
        <v>-4.80870731325167E-3</v>
      </c>
      <c r="AN253" s="16"/>
      <c r="AO253" s="47">
        <v>45441</v>
      </c>
      <c r="AP253" s="50">
        <v>1285.8</v>
      </c>
      <c r="AQ253" s="50">
        <v>33509.230000000003</v>
      </c>
      <c r="AR253" s="16">
        <f t="shared" ref="AR253:AS253" si="1051">AP253/AP254-1</f>
        <v>-2.3504841465730064E-2</v>
      </c>
      <c r="AS253" s="16">
        <f t="shared" si="1051"/>
        <v>-8.0159834174116096E-3</v>
      </c>
    </row>
    <row r="254" spans="1:45" ht="15">
      <c r="A254" s="51">
        <v>43985</v>
      </c>
      <c r="B254" s="48">
        <v>5.8200000000000002E-2</v>
      </c>
      <c r="C254" s="16"/>
      <c r="D254" s="47">
        <v>44344</v>
      </c>
      <c r="E254" s="48">
        <v>6.1699999999999998E-2</v>
      </c>
      <c r="F254" s="16"/>
      <c r="G254" s="47">
        <v>44707</v>
      </c>
      <c r="H254" s="48">
        <v>7.2999999999999995E-2</v>
      </c>
      <c r="I254" s="16"/>
      <c r="J254" s="51">
        <v>45078</v>
      </c>
      <c r="K254" s="48">
        <v>6.9800000000000001E-2</v>
      </c>
      <c r="L254" s="16"/>
      <c r="M254" s="47">
        <v>45439</v>
      </c>
      <c r="N254" s="48">
        <v>7.0199999999999999E-2</v>
      </c>
      <c r="O254" s="16"/>
      <c r="P254" s="16"/>
      <c r="Q254" s="52">
        <v>43984</v>
      </c>
      <c r="R254" s="49">
        <v>547.54999999999995</v>
      </c>
      <c r="S254" s="50">
        <v>14065.56</v>
      </c>
      <c r="T254" s="16">
        <f t="shared" ref="T254:U254" si="1052">R254/R255-1</f>
        <v>8.3793738489870151E-3</v>
      </c>
      <c r="U254" s="16">
        <f t="shared" si="1052"/>
        <v>1.5563898916967522E-2</v>
      </c>
      <c r="V254" s="16"/>
      <c r="W254" s="47">
        <v>44347</v>
      </c>
      <c r="X254" s="50">
        <v>1021.85</v>
      </c>
      <c r="Y254" s="50">
        <v>21962.31</v>
      </c>
      <c r="Z254" s="16">
        <f t="shared" ref="Z254:AA254" si="1053">X254/X255-1</f>
        <v>-4.1904205038250097E-3</v>
      </c>
      <c r="AA254" s="16">
        <f t="shared" si="1053"/>
        <v>6.3771757868025247E-3</v>
      </c>
      <c r="AB254" s="16"/>
      <c r="AC254" s="47">
        <v>44712</v>
      </c>
      <c r="AD254" s="50">
        <v>1180.8499999999999</v>
      </c>
      <c r="AE254" s="50">
        <v>23958.1</v>
      </c>
      <c r="AF254" s="16">
        <f t="shared" ref="AF254:AG254" si="1054">AD254/AD255-1</f>
        <v>1.4563106796116276E-2</v>
      </c>
      <c r="AG254" s="16">
        <f t="shared" si="1054"/>
        <v>-3.04395318595585E-3</v>
      </c>
      <c r="AH254" s="16"/>
      <c r="AI254" s="47">
        <v>45070</v>
      </c>
      <c r="AJ254" s="50">
        <v>1099.8499999999999</v>
      </c>
      <c r="AK254" s="50">
        <v>27188.18</v>
      </c>
      <c r="AL254" s="16">
        <f t="shared" ref="AL254:AM254" si="1055">AJ254/AJ255-1</f>
        <v>8.0194299330951235E-3</v>
      </c>
      <c r="AM254" s="16">
        <f t="shared" si="1055"/>
        <v>1.8926314874034844E-3</v>
      </c>
      <c r="AN254" s="16"/>
      <c r="AO254" s="47">
        <v>45440</v>
      </c>
      <c r="AP254" s="50">
        <v>1316.75</v>
      </c>
      <c r="AQ254" s="50">
        <v>33780.01</v>
      </c>
      <c r="AR254" s="16">
        <f t="shared" ref="AR254:AS254" si="1056">AP254/AP255-1</f>
        <v>-9.7018012258865971E-3</v>
      </c>
      <c r="AS254" s="16">
        <f t="shared" si="1056"/>
        <v>-1.9317254137121154E-3</v>
      </c>
    </row>
    <row r="255" spans="1:45" ht="15">
      <c r="A255" s="51">
        <v>43984</v>
      </c>
      <c r="B255" s="48">
        <v>5.8000000000000003E-2</v>
      </c>
      <c r="C255" s="16"/>
      <c r="D255" s="47">
        <v>44343</v>
      </c>
      <c r="E255" s="48">
        <v>6.1600000000000002E-2</v>
      </c>
      <c r="F255" s="16"/>
      <c r="G255" s="47">
        <v>44706</v>
      </c>
      <c r="H255" s="48">
        <v>7.3099999999999998E-2</v>
      </c>
      <c r="I255" s="16"/>
      <c r="J255" s="47">
        <v>45077</v>
      </c>
      <c r="K255" s="48">
        <v>6.9900000000000004E-2</v>
      </c>
      <c r="L255" s="16"/>
      <c r="M255" s="47">
        <v>45436</v>
      </c>
      <c r="N255" s="48">
        <v>7.0400000000000004E-2</v>
      </c>
      <c r="O255" s="16"/>
      <c r="P255" s="16"/>
      <c r="Q255" s="52">
        <v>43983</v>
      </c>
      <c r="R255" s="49">
        <v>543</v>
      </c>
      <c r="S255" s="50">
        <v>13850</v>
      </c>
      <c r="T255" s="16">
        <f t="shared" ref="T255:U255" si="1057">R255/R256-1</f>
        <v>2.3755656108597423E-2</v>
      </c>
      <c r="U255" s="16">
        <f t="shared" si="1057"/>
        <v>2.5663811840677786E-2</v>
      </c>
      <c r="V255" s="16"/>
      <c r="W255" s="47">
        <v>44344</v>
      </c>
      <c r="X255" s="50">
        <v>1026.1500000000001</v>
      </c>
      <c r="Y255" s="50">
        <v>21823.14</v>
      </c>
      <c r="Z255" s="16">
        <f t="shared" ref="Z255:AA255" si="1058">X255/X256-1</f>
        <v>6.4240878775991828E-3</v>
      </c>
      <c r="AA255" s="16">
        <f t="shared" si="1058"/>
        <v>2.3788143592382571E-3</v>
      </c>
      <c r="AB255" s="16"/>
      <c r="AC255" s="47">
        <v>44711</v>
      </c>
      <c r="AD255" s="50">
        <v>1163.9000000000001</v>
      </c>
      <c r="AE255" s="50">
        <v>24031.25</v>
      </c>
      <c r="AF255" s="16">
        <f t="shared" ref="AF255:AG255" si="1059">AD255/AD256-1</f>
        <v>3.5912954474656367E-2</v>
      </c>
      <c r="AG255" s="16">
        <f t="shared" si="1059"/>
        <v>1.8894571732509746E-2</v>
      </c>
      <c r="AH255" s="16"/>
      <c r="AI255" s="47">
        <v>45069</v>
      </c>
      <c r="AJ255" s="50">
        <v>1091.0999999999999</v>
      </c>
      <c r="AK255" s="50">
        <v>27136.82</v>
      </c>
      <c r="AL255" s="16">
        <f t="shared" ref="AL255:AM255" si="1060">AJ255/AJ256-1</f>
        <v>-1.208746434877106E-2</v>
      </c>
      <c r="AM255" s="16">
        <f t="shared" si="1060"/>
        <v>5.3701355259936356E-3</v>
      </c>
      <c r="AN255" s="16"/>
      <c r="AO255" s="47">
        <v>45439</v>
      </c>
      <c r="AP255" s="50">
        <v>1329.65</v>
      </c>
      <c r="AQ255" s="50">
        <v>33845.39</v>
      </c>
      <c r="AR255" s="16">
        <f t="shared" ref="AR255:AS255" si="1061">AP255/AP256-1</f>
        <v>5.862773280883582E-3</v>
      </c>
      <c r="AS255" s="16">
        <f t="shared" si="1061"/>
        <v>-1.0731440967483019E-3</v>
      </c>
    </row>
    <row r="256" spans="1:45" ht="15">
      <c r="A256" s="51">
        <v>43983</v>
      </c>
      <c r="B256" s="48">
        <v>5.8200000000000002E-2</v>
      </c>
      <c r="C256" s="16"/>
      <c r="D256" s="47">
        <v>44341</v>
      </c>
      <c r="E256" s="48">
        <v>6.1400000000000003E-2</v>
      </c>
      <c r="F256" s="16"/>
      <c r="G256" s="47">
        <v>44705</v>
      </c>
      <c r="H256" s="48">
        <v>7.3599999999999999E-2</v>
      </c>
      <c r="I256" s="16"/>
      <c r="J256" s="47">
        <v>45076</v>
      </c>
      <c r="K256" s="48">
        <v>7.0199999999999999E-2</v>
      </c>
      <c r="L256" s="16"/>
      <c r="M256" s="47">
        <v>45434</v>
      </c>
      <c r="N256" s="48">
        <v>7.0900000000000005E-2</v>
      </c>
      <c r="O256" s="16"/>
      <c r="P256" s="16"/>
      <c r="Q256" s="47">
        <v>43980</v>
      </c>
      <c r="R256" s="49">
        <v>530.4</v>
      </c>
      <c r="S256" s="50">
        <v>13503.45</v>
      </c>
      <c r="T256" s="16">
        <f t="shared" ref="T256:U256" si="1062">R256/R257-1</f>
        <v>9.4357425929425531E-4</v>
      </c>
      <c r="U256" s="16">
        <f t="shared" si="1062"/>
        <v>1.0385606806014414E-2</v>
      </c>
      <c r="V256" s="16"/>
      <c r="W256" s="47">
        <v>44343</v>
      </c>
      <c r="X256" s="50">
        <v>1019.6</v>
      </c>
      <c r="Y256" s="50">
        <v>21771.35</v>
      </c>
      <c r="Z256" s="16">
        <f t="shared" ref="Z256:AA256" si="1063">X256/X257-1</f>
        <v>1.2060151868579005E-2</v>
      </c>
      <c r="AA256" s="16">
        <f t="shared" si="1063"/>
        <v>6.1144117299103407E-3</v>
      </c>
      <c r="AB256" s="16"/>
      <c r="AC256" s="47">
        <v>44708</v>
      </c>
      <c r="AD256" s="50">
        <v>1123.55</v>
      </c>
      <c r="AE256" s="50">
        <v>23585.61</v>
      </c>
      <c r="AF256" s="16">
        <f t="shared" ref="AF256:AG256" si="1064">AD256/AD257-1</f>
        <v>4.1047023395876625E-2</v>
      </c>
      <c r="AG256" s="16">
        <f t="shared" si="1064"/>
        <v>1.1274442966625609E-2</v>
      </c>
      <c r="AH256" s="16"/>
      <c r="AI256" s="47">
        <v>45068</v>
      </c>
      <c r="AJ256" s="50">
        <v>1104.45</v>
      </c>
      <c r="AK256" s="50">
        <v>26991.87</v>
      </c>
      <c r="AL256" s="16">
        <f t="shared" ref="AL256:AM256" si="1065">AJ256/AJ257-1</f>
        <v>3.0270522388059717E-2</v>
      </c>
      <c r="AM256" s="16">
        <f t="shared" si="1065"/>
        <v>9.726595904661961E-3</v>
      </c>
      <c r="AN256" s="16"/>
      <c r="AO256" s="47">
        <v>45436</v>
      </c>
      <c r="AP256" s="50">
        <v>1321.9</v>
      </c>
      <c r="AQ256" s="50">
        <v>33881.75</v>
      </c>
      <c r="AR256" s="16">
        <f t="shared" ref="AR256:AS256" si="1066">AP256/AP257-1</f>
        <v>-1.1811317933766885E-2</v>
      </c>
      <c r="AS256" s="16">
        <f t="shared" si="1066"/>
        <v>-4.103770217190883E-4</v>
      </c>
    </row>
    <row r="257" spans="1:45" ht="15">
      <c r="A257" s="47">
        <v>43980</v>
      </c>
      <c r="B257" s="48">
        <v>5.79E-2</v>
      </c>
      <c r="C257" s="16"/>
      <c r="D257" s="47">
        <v>44340</v>
      </c>
      <c r="E257" s="48">
        <v>6.1400000000000003E-2</v>
      </c>
      <c r="F257" s="16"/>
      <c r="G257" s="47">
        <v>44704</v>
      </c>
      <c r="H257" s="48">
        <v>7.3899999999999993E-2</v>
      </c>
      <c r="I257" s="16"/>
      <c r="J257" s="47">
        <v>45075</v>
      </c>
      <c r="K257" s="48">
        <v>7.0199999999999999E-2</v>
      </c>
      <c r="L257" s="16"/>
      <c r="M257" s="47">
        <v>45433</v>
      </c>
      <c r="N257" s="48">
        <v>7.0699999999999999E-2</v>
      </c>
      <c r="O257" s="16"/>
      <c r="P257" s="16"/>
      <c r="Q257" s="47">
        <v>43979</v>
      </c>
      <c r="R257" s="49">
        <v>529.9</v>
      </c>
      <c r="S257" s="50">
        <v>13364.65</v>
      </c>
      <c r="T257" s="16">
        <f t="shared" ref="T257:U257" si="1067">R257/R258-1</f>
        <v>1.2225405921680865E-2</v>
      </c>
      <c r="U257" s="16">
        <f t="shared" si="1067"/>
        <v>1.8803185549005619E-2</v>
      </c>
      <c r="V257" s="16"/>
      <c r="W257" s="47">
        <v>44342</v>
      </c>
      <c r="X257" s="50">
        <v>1007.45</v>
      </c>
      <c r="Y257" s="50">
        <v>21639.040000000001</v>
      </c>
      <c r="Z257" s="16">
        <f t="shared" ref="Z257:AA257" si="1068">X257/X258-1</f>
        <v>1.4347563431333032E-2</v>
      </c>
      <c r="AA257" s="16">
        <f t="shared" si="1068"/>
        <v>1.0181787229790462E-3</v>
      </c>
      <c r="AB257" s="16"/>
      <c r="AC257" s="47">
        <v>44707</v>
      </c>
      <c r="AD257" s="50">
        <v>1079.25</v>
      </c>
      <c r="AE257" s="50">
        <v>23322.66</v>
      </c>
      <c r="AF257" s="16">
        <f t="shared" ref="AF257:AG257" si="1069">AD257/AD258-1</f>
        <v>1.8881283927307146E-2</v>
      </c>
      <c r="AG257" s="16">
        <f t="shared" si="1069"/>
        <v>9.7862761796849718E-3</v>
      </c>
      <c r="AH257" s="16"/>
      <c r="AI257" s="47">
        <v>45065</v>
      </c>
      <c r="AJ257" s="50">
        <v>1072</v>
      </c>
      <c r="AK257" s="50">
        <v>26731.86</v>
      </c>
      <c r="AL257" s="16">
        <f t="shared" ref="AL257:AM257" si="1070">AJ257/AJ258-1</f>
        <v>2.3047191869065342E-2</v>
      </c>
      <c r="AM257" s="16">
        <f t="shared" si="1070"/>
        <v>1.9542933733938117E-3</v>
      </c>
      <c r="AN257" s="16"/>
      <c r="AO257" s="47">
        <v>45435</v>
      </c>
      <c r="AP257" s="50">
        <v>1337.7</v>
      </c>
      <c r="AQ257" s="50">
        <v>33895.660000000003</v>
      </c>
      <c r="AR257" s="16">
        <f t="shared" ref="AR257:AS257" si="1071">AP257/AP258-1</f>
        <v>5.8272867401030215E-3</v>
      </c>
      <c r="AS257" s="16">
        <f t="shared" si="1071"/>
        <v>1.63664953115219E-2</v>
      </c>
    </row>
    <row r="258" spans="1:45" ht="15">
      <c r="A258" s="47">
        <v>43979</v>
      </c>
      <c r="B258" s="48">
        <v>5.7500000000000002E-2</v>
      </c>
      <c r="C258" s="16"/>
      <c r="D258" s="47">
        <v>44337</v>
      </c>
      <c r="E258" s="48">
        <v>6.1400000000000003E-2</v>
      </c>
      <c r="F258" s="16"/>
      <c r="G258" s="47">
        <v>44701</v>
      </c>
      <c r="H258" s="48">
        <v>7.3599999999999999E-2</v>
      </c>
      <c r="I258" s="16"/>
      <c r="J258" s="47">
        <v>45072</v>
      </c>
      <c r="K258" s="48">
        <v>7.0000000000000007E-2</v>
      </c>
      <c r="L258" s="16"/>
      <c r="M258" s="47">
        <v>45431</v>
      </c>
      <c r="N258" s="48">
        <v>7.0999999999999994E-2</v>
      </c>
      <c r="O258" s="16"/>
      <c r="P258" s="16"/>
      <c r="Q258" s="47">
        <v>43978</v>
      </c>
      <c r="R258" s="49">
        <v>523.5</v>
      </c>
      <c r="S258" s="50">
        <v>13117.99</v>
      </c>
      <c r="T258" s="16">
        <f t="shared" ref="T258:U258" si="1072">R258/R259-1</f>
        <v>6.7307692307692069E-3</v>
      </c>
      <c r="U258" s="16">
        <f t="shared" si="1072"/>
        <v>3.1662418533761061E-2</v>
      </c>
      <c r="V258" s="16"/>
      <c r="W258" s="47">
        <v>44341</v>
      </c>
      <c r="X258" s="49">
        <v>993.2</v>
      </c>
      <c r="Y258" s="50">
        <v>21617.03</v>
      </c>
      <c r="Z258" s="16">
        <f t="shared" ref="Z258:AA258" si="1073">X258/X259-1</f>
        <v>8.990704525829285E-3</v>
      </c>
      <c r="AA258" s="16">
        <f t="shared" si="1073"/>
        <v>1.475549427894407E-3</v>
      </c>
      <c r="AB258" s="16"/>
      <c r="AC258" s="47">
        <v>44706</v>
      </c>
      <c r="AD258" s="50">
        <v>1059.25</v>
      </c>
      <c r="AE258" s="50">
        <v>23096.63</v>
      </c>
      <c r="AF258" s="16">
        <f t="shared" ref="AF258:AG258" si="1074">AD258/AD259-1</f>
        <v>-3.5335367241928872E-2</v>
      </c>
      <c r="AG258" s="16">
        <f t="shared" si="1074"/>
        <v>-5.452294575479244E-3</v>
      </c>
      <c r="AH258" s="16"/>
      <c r="AI258" s="47">
        <v>45064</v>
      </c>
      <c r="AJ258" s="50">
        <v>1047.8499999999999</v>
      </c>
      <c r="AK258" s="50">
        <v>26679.72</v>
      </c>
      <c r="AL258" s="16">
        <f t="shared" ref="AL258:AM258" si="1075">AJ258/AJ259-1</f>
        <v>-5.9292287259273824E-3</v>
      </c>
      <c r="AM258" s="16">
        <f t="shared" si="1075"/>
        <v>-3.4133823414054243E-3</v>
      </c>
      <c r="AN258" s="16"/>
      <c r="AO258" s="47">
        <v>45434</v>
      </c>
      <c r="AP258" s="50">
        <v>1329.95</v>
      </c>
      <c r="AQ258" s="50">
        <v>33349.839999999997</v>
      </c>
      <c r="AR258" s="16">
        <f t="shared" ref="AR258:AS258" si="1076">AP258/AP259-1</f>
        <v>4.7975219099427591E-3</v>
      </c>
      <c r="AS258" s="16">
        <f t="shared" si="1076"/>
        <v>3.5810108922915695E-3</v>
      </c>
    </row>
    <row r="259" spans="1:45" ht="15">
      <c r="A259" s="47">
        <v>43978</v>
      </c>
      <c r="B259" s="48">
        <v>5.7500000000000002E-2</v>
      </c>
      <c r="C259" s="16"/>
      <c r="D259" s="47">
        <v>44336</v>
      </c>
      <c r="E259" s="48">
        <v>6.1699999999999998E-2</v>
      </c>
      <c r="F259" s="16"/>
      <c r="G259" s="47">
        <v>44700</v>
      </c>
      <c r="H259" s="48">
        <v>7.3300000000000004E-2</v>
      </c>
      <c r="I259" s="16"/>
      <c r="J259" s="47">
        <v>45071</v>
      </c>
      <c r="K259" s="48">
        <v>7.0099999999999996E-2</v>
      </c>
      <c r="L259" s="16"/>
      <c r="M259" s="47">
        <v>45429</v>
      </c>
      <c r="N259" s="48">
        <v>7.0900000000000005E-2</v>
      </c>
      <c r="O259" s="16"/>
      <c r="P259" s="16"/>
      <c r="Q259" s="47">
        <v>43977</v>
      </c>
      <c r="R259" s="49">
        <v>520</v>
      </c>
      <c r="S259" s="50">
        <v>12715.39</v>
      </c>
      <c r="T259" s="16">
        <f t="shared" ref="T259:U259" si="1077">R259/R260-1</f>
        <v>-1.8312252218236846E-2</v>
      </c>
      <c r="U259" s="16">
        <f t="shared" si="1077"/>
        <v>-1.1272814684353261E-3</v>
      </c>
      <c r="V259" s="16"/>
      <c r="W259" s="47">
        <v>44340</v>
      </c>
      <c r="X259" s="49">
        <v>984.35</v>
      </c>
      <c r="Y259" s="50">
        <v>21585.18</v>
      </c>
      <c r="Z259" s="16">
        <f t="shared" ref="Z259:AA259" si="1078">X259/X260-1</f>
        <v>3.7730076989752614E-3</v>
      </c>
      <c r="AA259" s="16">
        <f t="shared" si="1078"/>
        <v>1.8062739686098839E-2</v>
      </c>
      <c r="AB259" s="16"/>
      <c r="AC259" s="47">
        <v>44705</v>
      </c>
      <c r="AD259" s="50">
        <v>1098.05</v>
      </c>
      <c r="AE259" s="50">
        <v>23223.25</v>
      </c>
      <c r="AF259" s="16">
        <f t="shared" ref="AF259:AG259" si="1079">AD259/AD260-1</f>
        <v>-3.9158207910395482E-2</v>
      </c>
      <c r="AG259" s="16">
        <f t="shared" si="1079"/>
        <v>-5.5228153897145527E-3</v>
      </c>
      <c r="AH259" s="16"/>
      <c r="AI259" s="47">
        <v>45063</v>
      </c>
      <c r="AJ259" s="50">
        <v>1054.0999999999999</v>
      </c>
      <c r="AK259" s="50">
        <v>26771.1</v>
      </c>
      <c r="AL259" s="16">
        <f t="shared" ref="AL259:AM259" si="1080">AJ259/AJ260-1</f>
        <v>-3.4036116100975011E-3</v>
      </c>
      <c r="AM259" s="16">
        <f t="shared" si="1080"/>
        <v>1.8363125855334061E-3</v>
      </c>
      <c r="AN259" s="16"/>
      <c r="AO259" s="47">
        <v>45433</v>
      </c>
      <c r="AP259" s="50">
        <v>1323.6</v>
      </c>
      <c r="AQ259" s="50">
        <v>33230.839999999997</v>
      </c>
      <c r="AR259" s="16">
        <f t="shared" ref="AR259:AS259" si="1081">AP259/AP260-1</f>
        <v>1.4408338442673196E-2</v>
      </c>
      <c r="AS259" s="16">
        <f t="shared" si="1081"/>
        <v>1.2012303346360387E-3</v>
      </c>
    </row>
    <row r="260" spans="1:45" ht="15">
      <c r="A260" s="47">
        <v>43977</v>
      </c>
      <c r="B260" s="48">
        <v>5.9799999999999999E-2</v>
      </c>
      <c r="C260" s="16"/>
      <c r="D260" s="47">
        <v>44335</v>
      </c>
      <c r="E260" s="48">
        <v>6.1800000000000001E-2</v>
      </c>
      <c r="F260" s="16"/>
      <c r="G260" s="47">
        <v>44699</v>
      </c>
      <c r="H260" s="48">
        <v>7.3599999999999999E-2</v>
      </c>
      <c r="I260" s="16"/>
      <c r="J260" s="47">
        <v>45070</v>
      </c>
      <c r="K260" s="48">
        <v>6.9900000000000004E-2</v>
      </c>
      <c r="L260" s="16"/>
      <c r="M260" s="47">
        <v>45428</v>
      </c>
      <c r="N260" s="48">
        <v>7.0800000000000002E-2</v>
      </c>
      <c r="O260" s="16"/>
      <c r="P260" s="16"/>
      <c r="Q260" s="47">
        <v>43973</v>
      </c>
      <c r="R260" s="49">
        <v>529.70000000000005</v>
      </c>
      <c r="S260" s="50">
        <v>12729.74</v>
      </c>
      <c r="T260" s="16">
        <f t="shared" ref="T260:U260" si="1082">R260/R261-1</f>
        <v>1.8849778803616157E-2</v>
      </c>
      <c r="U260" s="16">
        <f t="shared" si="1082"/>
        <v>-7.359569311578551E-3</v>
      </c>
      <c r="V260" s="16"/>
      <c r="W260" s="47">
        <v>44337</v>
      </c>
      <c r="X260" s="49">
        <v>980.65</v>
      </c>
      <c r="Y260" s="50">
        <v>21202.21</v>
      </c>
      <c r="Z260" s="16">
        <f t="shared" ref="Z260:AA260" si="1083">X260/X261-1</f>
        <v>7.9140757490105962E-3</v>
      </c>
      <c r="AA260" s="16">
        <f t="shared" si="1083"/>
        <v>-8.2558769916426522E-3</v>
      </c>
      <c r="AB260" s="16"/>
      <c r="AC260" s="47">
        <v>44704</v>
      </c>
      <c r="AD260" s="50">
        <v>1142.8</v>
      </c>
      <c r="AE260" s="50">
        <v>23352.22</v>
      </c>
      <c r="AF260" s="16">
        <f t="shared" ref="AF260:AG260" si="1084">AD260/AD261-1</f>
        <v>9.8974902792505759E-3</v>
      </c>
      <c r="AG260" s="16">
        <f t="shared" si="1084"/>
        <v>-3.1648109223968435E-3</v>
      </c>
      <c r="AH260" s="16"/>
      <c r="AI260" s="47">
        <v>45062</v>
      </c>
      <c r="AJ260" s="50">
        <v>1057.7</v>
      </c>
      <c r="AK260" s="50">
        <v>26722.03</v>
      </c>
      <c r="AL260" s="16">
        <f t="shared" ref="AL260:AM260" si="1085">AJ260/AJ261-1</f>
        <v>-7.8326532526615811E-3</v>
      </c>
      <c r="AM260" s="16">
        <f t="shared" si="1085"/>
        <v>6.0967390936028654E-3</v>
      </c>
      <c r="AN260" s="16"/>
      <c r="AO260" s="47">
        <v>45429</v>
      </c>
      <c r="AP260" s="50">
        <v>1304.8</v>
      </c>
      <c r="AQ260" s="50">
        <v>33190.97</v>
      </c>
      <c r="AR260" s="16">
        <f t="shared" ref="AR260:AS260" si="1086">AP260/AP261-1</f>
        <v>-2.8657674525237598E-3</v>
      </c>
      <c r="AS260" s="16">
        <f t="shared" si="1086"/>
        <v>1.5978625156241044E-3</v>
      </c>
    </row>
    <row r="261" spans="1:45" ht="15">
      <c r="A261" s="47">
        <v>43976</v>
      </c>
      <c r="B261" s="48">
        <v>5.9700000000000003E-2</v>
      </c>
      <c r="C261" s="16"/>
      <c r="D261" s="47">
        <v>44334</v>
      </c>
      <c r="E261" s="48">
        <v>6.1800000000000001E-2</v>
      </c>
      <c r="F261" s="16"/>
      <c r="G261" s="47">
        <v>44698</v>
      </c>
      <c r="H261" s="48">
        <v>7.3700000000000002E-2</v>
      </c>
      <c r="I261" s="16"/>
      <c r="J261" s="47">
        <v>45069</v>
      </c>
      <c r="K261" s="48">
        <v>7.0099999999999996E-2</v>
      </c>
      <c r="L261" s="16"/>
      <c r="M261" s="47">
        <v>45427</v>
      </c>
      <c r="N261" s="48">
        <v>7.0900000000000005E-2</v>
      </c>
      <c r="O261" s="16"/>
      <c r="P261" s="16"/>
      <c r="Q261" s="47">
        <v>43972</v>
      </c>
      <c r="R261" s="49">
        <v>519.9</v>
      </c>
      <c r="S261" s="50">
        <v>12824.12</v>
      </c>
      <c r="T261" s="16">
        <f t="shared" ref="T261:U261" si="1087">R261/R262-1</f>
        <v>1.0590160777894653E-3</v>
      </c>
      <c r="U261" s="16">
        <f t="shared" si="1087"/>
        <v>4.3796306448833366E-3</v>
      </c>
      <c r="V261" s="16"/>
      <c r="W261" s="47">
        <v>44336</v>
      </c>
      <c r="X261" s="49">
        <v>972.95</v>
      </c>
      <c r="Y261" s="50">
        <v>21378.71</v>
      </c>
      <c r="Z261" s="16">
        <f t="shared" ref="Z261:AA261" si="1088">X261/X262-1</f>
        <v>-5.1635991820040417E-3</v>
      </c>
      <c r="AA261" s="16">
        <f t="shared" si="1088"/>
        <v>-5.1583187370984884E-3</v>
      </c>
      <c r="AB261" s="16"/>
      <c r="AC261" s="47">
        <v>44701</v>
      </c>
      <c r="AD261" s="50">
        <v>1131.5999999999999</v>
      </c>
      <c r="AE261" s="50">
        <v>23426.36</v>
      </c>
      <c r="AF261" s="16">
        <f t="shared" ref="AF261:AG261" si="1089">AD261/AD262-1</f>
        <v>2.1207472249797021E-2</v>
      </c>
      <c r="AG261" s="16">
        <f t="shared" si="1089"/>
        <v>2.889387921640818E-2</v>
      </c>
      <c r="AH261" s="16"/>
      <c r="AI261" s="47">
        <v>45061</v>
      </c>
      <c r="AJ261" s="50">
        <v>1066.05</v>
      </c>
      <c r="AK261" s="50">
        <v>26560.1</v>
      </c>
      <c r="AL261" s="16">
        <f t="shared" ref="AL261:AM261" si="1090">AJ261/AJ262-1</f>
        <v>1.92657041782196E-2</v>
      </c>
      <c r="AM261" s="16">
        <f t="shared" si="1090"/>
        <v>4.114737823453396E-3</v>
      </c>
      <c r="AN261" s="16"/>
      <c r="AO261" s="47">
        <v>45428</v>
      </c>
      <c r="AP261" s="50">
        <v>1308.55</v>
      </c>
      <c r="AQ261" s="50">
        <v>33138.019999999997</v>
      </c>
      <c r="AR261" s="16">
        <f t="shared" ref="AR261:AS261" si="1091">AP261/AP262-1</f>
        <v>2.6635807312098025E-2</v>
      </c>
      <c r="AS261" s="16">
        <f t="shared" si="1091"/>
        <v>2.7797480857076895E-3</v>
      </c>
    </row>
    <row r="262" spans="1:45" ht="15">
      <c r="A262" s="47">
        <v>43973</v>
      </c>
      <c r="B262" s="48">
        <v>5.9700000000000003E-2</v>
      </c>
      <c r="C262" s="16"/>
      <c r="D262" s="47">
        <v>44333</v>
      </c>
      <c r="E262" s="48">
        <v>6.1800000000000001E-2</v>
      </c>
      <c r="F262" s="16"/>
      <c r="G262" s="47">
        <v>44696</v>
      </c>
      <c r="H262" s="48">
        <v>7.3200000000000001E-2</v>
      </c>
      <c r="I262" s="16"/>
      <c r="J262" s="47">
        <v>45068</v>
      </c>
      <c r="K262" s="48">
        <v>6.9900000000000004E-2</v>
      </c>
      <c r="L262" s="16"/>
      <c r="M262" s="47">
        <v>45426</v>
      </c>
      <c r="N262" s="48">
        <v>7.1099999999999997E-2</v>
      </c>
      <c r="O262" s="16"/>
      <c r="P262" s="16"/>
      <c r="Q262" s="47">
        <v>43971</v>
      </c>
      <c r="R262" s="49">
        <v>519.35</v>
      </c>
      <c r="S262" s="50">
        <v>12768.2</v>
      </c>
      <c r="T262" s="16">
        <f t="shared" ref="T262:U262" si="1092">R262/R263-1</f>
        <v>1.3069345557398027E-2</v>
      </c>
      <c r="U262" s="16">
        <f t="shared" si="1092"/>
        <v>2.1111272834291261E-2</v>
      </c>
      <c r="V262" s="16"/>
      <c r="W262" s="47">
        <v>44335</v>
      </c>
      <c r="X262" s="49">
        <v>978</v>
      </c>
      <c r="Y262" s="50">
        <v>21489.56</v>
      </c>
      <c r="Z262" s="16">
        <f t="shared" ref="Z262:AA262" si="1093">X262/X263-1</f>
        <v>9.652609301605386E-3</v>
      </c>
      <c r="AA262" s="16">
        <f t="shared" si="1093"/>
        <v>1.2391568475865089E-2</v>
      </c>
      <c r="AB262" s="16"/>
      <c r="AC262" s="47">
        <v>44700</v>
      </c>
      <c r="AD262" s="50">
        <v>1108.0999999999999</v>
      </c>
      <c r="AE262" s="50">
        <v>22768.49</v>
      </c>
      <c r="AF262" s="16">
        <f t="shared" ref="AF262:AG262" si="1094">AD262/AD263-1</f>
        <v>-5.4885069725787994E-2</v>
      </c>
      <c r="AG262" s="16">
        <f t="shared" si="1094"/>
        <v>-2.6532906182246574E-2</v>
      </c>
      <c r="AH262" s="16"/>
      <c r="AI262" s="51">
        <v>45058</v>
      </c>
      <c r="AJ262" s="50">
        <v>1045.9000000000001</v>
      </c>
      <c r="AK262" s="50">
        <v>26451.26</v>
      </c>
      <c r="AL262" s="16">
        <f t="shared" ref="AL262:AM262" si="1095">AJ262/AJ263-1</f>
        <v>1.6760044054973111E-3</v>
      </c>
      <c r="AM262" s="16">
        <f t="shared" si="1095"/>
        <v>-2.8484379205649946E-3</v>
      </c>
      <c r="AN262" s="16"/>
      <c r="AO262" s="47">
        <v>45427</v>
      </c>
      <c r="AP262" s="50">
        <v>1274.5999999999999</v>
      </c>
      <c r="AQ262" s="50">
        <v>33046.160000000003</v>
      </c>
      <c r="AR262" s="16">
        <f t="shared" ref="AR262:AS262" si="1096">AP262/AP263-1</f>
        <v>-6.6643145556477545E-4</v>
      </c>
      <c r="AS262" s="16">
        <f t="shared" si="1096"/>
        <v>9.4465238166951959E-3</v>
      </c>
    </row>
    <row r="263" spans="1:45" ht="15">
      <c r="A263" s="47">
        <v>43972</v>
      </c>
      <c r="B263" s="48">
        <v>6.0299999999999999E-2</v>
      </c>
      <c r="C263" s="16"/>
      <c r="D263" s="47">
        <v>44330</v>
      </c>
      <c r="E263" s="48">
        <v>6.1899999999999997E-2</v>
      </c>
      <c r="F263" s="16"/>
      <c r="G263" s="47">
        <v>44694</v>
      </c>
      <c r="H263" s="48">
        <v>7.3200000000000001E-2</v>
      </c>
      <c r="I263" s="16"/>
      <c r="J263" s="47">
        <v>45065</v>
      </c>
      <c r="K263" s="48">
        <v>6.9699999999999998E-2</v>
      </c>
      <c r="L263" s="16"/>
      <c r="M263" s="47">
        <v>45425</v>
      </c>
      <c r="N263" s="48">
        <v>7.1199999999999999E-2</v>
      </c>
      <c r="O263" s="16"/>
      <c r="P263" s="16"/>
      <c r="Q263" s="47">
        <v>43970</v>
      </c>
      <c r="R263" s="49">
        <v>512.65</v>
      </c>
      <c r="S263" s="50">
        <v>12504.22</v>
      </c>
      <c r="T263" s="16">
        <f t="shared" ref="T263:U263" si="1097">R263/R264-1</f>
        <v>1.7465515530415754E-2</v>
      </c>
      <c r="U263" s="16">
        <f t="shared" si="1097"/>
        <v>6.3296895031776934E-3</v>
      </c>
      <c r="V263" s="16"/>
      <c r="W263" s="47">
        <v>44334</v>
      </c>
      <c r="X263" s="49">
        <v>968.65</v>
      </c>
      <c r="Y263" s="50">
        <v>21226.53</v>
      </c>
      <c r="Z263" s="16">
        <f t="shared" ref="Z263:AA263" si="1098">X263/X264-1</f>
        <v>1.5729041052797044E-2</v>
      </c>
      <c r="AA263" s="16">
        <f t="shared" si="1098"/>
        <v>1.6715075899673915E-2</v>
      </c>
      <c r="AB263" s="16"/>
      <c r="AC263" s="47">
        <v>44699</v>
      </c>
      <c r="AD263" s="50">
        <v>1172.45</v>
      </c>
      <c r="AE263" s="50">
        <v>23389.07</v>
      </c>
      <c r="AF263" s="16">
        <f t="shared" ref="AF263:AG263" si="1099">AD263/AD264-1</f>
        <v>-2.1449735008137627E-2</v>
      </c>
      <c r="AG263" s="16">
        <f t="shared" si="1099"/>
        <v>-1.1696900385455011E-3</v>
      </c>
      <c r="AH263" s="16"/>
      <c r="AI263" s="51">
        <v>45057</v>
      </c>
      <c r="AJ263" s="50">
        <v>1044.1500000000001</v>
      </c>
      <c r="AK263" s="50">
        <v>26526.82</v>
      </c>
      <c r="AL263" s="16">
        <f t="shared" ref="AL263:AM263" si="1100">AJ263/AJ264-1</f>
        <v>-1.9594723762186295E-3</v>
      </c>
      <c r="AM263" s="16">
        <f t="shared" si="1100"/>
        <v>-5.7290813567033583E-3</v>
      </c>
      <c r="AN263" s="16"/>
      <c r="AO263" s="47">
        <v>45426</v>
      </c>
      <c r="AP263" s="50">
        <v>1275.45</v>
      </c>
      <c r="AQ263" s="50">
        <v>32736.91</v>
      </c>
      <c r="AR263" s="16">
        <f t="shared" ref="AR263:AS263" si="1101">AP263/AP264-1</f>
        <v>1.0497543970844569E-2</v>
      </c>
      <c r="AS263" s="16">
        <f t="shared" si="1101"/>
        <v>-7.7711105759437071E-4</v>
      </c>
    </row>
    <row r="264" spans="1:45" ht="15">
      <c r="A264" s="47">
        <v>43971</v>
      </c>
      <c r="B264" s="48">
        <v>6.0400000000000002E-2</v>
      </c>
      <c r="C264" s="16"/>
      <c r="D264" s="51">
        <v>44328</v>
      </c>
      <c r="E264" s="48">
        <v>6.1699999999999998E-2</v>
      </c>
      <c r="F264" s="16"/>
      <c r="G264" s="51">
        <v>44693</v>
      </c>
      <c r="H264" s="48">
        <v>7.2400000000000006E-2</v>
      </c>
      <c r="I264" s="16"/>
      <c r="J264" s="47">
        <v>45064</v>
      </c>
      <c r="K264" s="48">
        <v>6.9800000000000001E-2</v>
      </c>
      <c r="L264" s="16"/>
      <c r="M264" s="51">
        <v>45422</v>
      </c>
      <c r="N264" s="48">
        <v>7.1199999999999999E-2</v>
      </c>
      <c r="O264" s="16"/>
      <c r="P264" s="16"/>
      <c r="Q264" s="54">
        <v>43969</v>
      </c>
      <c r="R264" s="49">
        <v>503.85</v>
      </c>
      <c r="S264" s="50">
        <v>12425.57</v>
      </c>
      <c r="T264" s="16">
        <f t="shared" ref="T264:U264" si="1102">R264/R265-1</f>
        <v>-1.283307210031337E-2</v>
      </c>
      <c r="U264" s="16">
        <f t="shared" si="1102"/>
        <v>-3.4319150457443603E-2</v>
      </c>
      <c r="V264" s="16"/>
      <c r="W264" s="47">
        <v>44333</v>
      </c>
      <c r="X264" s="49">
        <v>953.65</v>
      </c>
      <c r="Y264" s="50">
        <v>20877.560000000001</v>
      </c>
      <c r="Z264" s="16">
        <f t="shared" ref="Z264:AA264" si="1103">X264/X265-1</f>
        <v>1.7858080781552044E-3</v>
      </c>
      <c r="AA264" s="16">
        <f t="shared" si="1103"/>
        <v>-1.271040698656134E-3</v>
      </c>
      <c r="AB264" s="16"/>
      <c r="AC264" s="47">
        <v>44698</v>
      </c>
      <c r="AD264" s="50">
        <v>1198.1500000000001</v>
      </c>
      <c r="AE264" s="50">
        <v>23416.46</v>
      </c>
      <c r="AF264" s="16">
        <f t="shared" ref="AF264:AG264" si="1104">AD264/AD265-1</f>
        <v>8.8834624452678312E-3</v>
      </c>
      <c r="AG264" s="16">
        <f t="shared" si="1104"/>
        <v>2.6322894405124808E-2</v>
      </c>
      <c r="AH264" s="16"/>
      <c r="AI264" s="51">
        <v>45056</v>
      </c>
      <c r="AJ264" s="50">
        <v>1046.2</v>
      </c>
      <c r="AK264" s="50">
        <v>26679.67</v>
      </c>
      <c r="AL264" s="16">
        <f t="shared" ref="AL264:AM264" si="1105">AJ264/AJ265-1</f>
        <v>-1.8604207413061014E-3</v>
      </c>
      <c r="AM264" s="16">
        <f t="shared" si="1105"/>
        <v>-4.081896239578886E-3</v>
      </c>
      <c r="AN264" s="16"/>
      <c r="AO264" s="47">
        <v>45425</v>
      </c>
      <c r="AP264" s="50">
        <v>1262.2</v>
      </c>
      <c r="AQ264" s="50">
        <v>32762.37</v>
      </c>
      <c r="AR264" s="16">
        <f t="shared" ref="AR264:AS264" si="1106">AP264/AP265-1</f>
        <v>-2.2923089083866088E-3</v>
      </c>
      <c r="AS264" s="16">
        <f t="shared" si="1106"/>
        <v>5.1468632390447855E-3</v>
      </c>
    </row>
    <row r="265" spans="1:45" ht="15">
      <c r="A265" s="47">
        <v>43970</v>
      </c>
      <c r="B265" s="48">
        <v>6.0400000000000002E-2</v>
      </c>
      <c r="C265" s="16"/>
      <c r="D265" s="51">
        <v>44327</v>
      </c>
      <c r="E265" s="48">
        <v>6.1699999999999998E-2</v>
      </c>
      <c r="F265" s="16"/>
      <c r="G265" s="51">
        <v>44692</v>
      </c>
      <c r="H265" s="48">
        <v>7.22E-2</v>
      </c>
      <c r="I265" s="16"/>
      <c r="J265" s="47">
        <v>45063</v>
      </c>
      <c r="K265" s="48">
        <v>6.9599999999999995E-2</v>
      </c>
      <c r="L265" s="16"/>
      <c r="M265" s="51">
        <v>45421</v>
      </c>
      <c r="N265" s="48">
        <v>7.1300000000000002E-2</v>
      </c>
      <c r="O265" s="16"/>
      <c r="P265" s="16"/>
      <c r="Q265" s="54">
        <v>43966</v>
      </c>
      <c r="R265" s="49">
        <v>510.4</v>
      </c>
      <c r="S265" s="50">
        <v>12867.16</v>
      </c>
      <c r="T265" s="16">
        <f t="shared" ref="T265:U265" si="1107">R265/R266-1</f>
        <v>-1.0565086750024322E-2</v>
      </c>
      <c r="U265" s="16">
        <f t="shared" si="1107"/>
        <v>-6.4851800045206964E-4</v>
      </c>
      <c r="V265" s="16"/>
      <c r="W265" s="47">
        <v>44330</v>
      </c>
      <c r="X265" s="49">
        <v>951.95</v>
      </c>
      <c r="Y265" s="50">
        <v>20904.13</v>
      </c>
      <c r="Z265" s="16">
        <f t="shared" ref="Z265:AA265" si="1108">X265/X266-1</f>
        <v>-1.0549838894085783E-2</v>
      </c>
      <c r="AA265" s="16">
        <f t="shared" si="1108"/>
        <v>-1.0386521570968421E-2</v>
      </c>
      <c r="AB265" s="16"/>
      <c r="AC265" s="47">
        <v>44697</v>
      </c>
      <c r="AD265" s="50">
        <v>1187.5999999999999</v>
      </c>
      <c r="AE265" s="50">
        <v>22815.88</v>
      </c>
      <c r="AF265" s="16">
        <f t="shared" ref="AF265:AG265" si="1109">AD265/AD266-1</f>
        <v>-1.2226565748981177E-2</v>
      </c>
      <c r="AG265" s="16">
        <f t="shared" si="1109"/>
        <v>3.8100634951923062E-3</v>
      </c>
      <c r="AH265" s="16"/>
      <c r="AI265" s="51">
        <v>45055</v>
      </c>
      <c r="AJ265" s="50">
        <v>1048.1500000000001</v>
      </c>
      <c r="AK265" s="50">
        <v>26789.02</v>
      </c>
      <c r="AL265" s="16">
        <f t="shared" ref="AL265:AM265" si="1110">AJ265/AJ266-1</f>
        <v>4.9376797698945651E-3</v>
      </c>
      <c r="AM265" s="16">
        <f t="shared" si="1110"/>
        <v>4.5881244264844856E-3</v>
      </c>
      <c r="AN265" s="16"/>
      <c r="AO265" s="51">
        <v>45422</v>
      </c>
      <c r="AP265" s="50">
        <v>1265.0999999999999</v>
      </c>
      <c r="AQ265" s="50">
        <v>32594.61</v>
      </c>
      <c r="AR265" s="16">
        <f t="shared" ref="AR265:AS265" si="1111">AP265/AP266-1</f>
        <v>-1.8934911242604047E-3</v>
      </c>
      <c r="AS265" s="16">
        <f t="shared" si="1111"/>
        <v>2.2156934188739541E-3</v>
      </c>
    </row>
    <row r="266" spans="1:45" ht="15">
      <c r="A266" s="47">
        <v>43969</v>
      </c>
      <c r="B266" s="48">
        <v>6.0600000000000001E-2</v>
      </c>
      <c r="C266" s="16"/>
      <c r="D266" s="51">
        <v>44326</v>
      </c>
      <c r="E266" s="48">
        <v>6.1699999999999998E-2</v>
      </c>
      <c r="F266" s="16"/>
      <c r="G266" s="51">
        <v>44691</v>
      </c>
      <c r="H266" s="48">
        <v>7.3099999999999998E-2</v>
      </c>
      <c r="I266" s="16"/>
      <c r="J266" s="47">
        <v>45062</v>
      </c>
      <c r="K266" s="48">
        <v>6.9699999999999998E-2</v>
      </c>
      <c r="L266" s="16"/>
      <c r="M266" s="51">
        <v>45420</v>
      </c>
      <c r="N266" s="48">
        <v>7.1400000000000005E-2</v>
      </c>
      <c r="O266" s="16"/>
      <c r="P266" s="16"/>
      <c r="Q266" s="54">
        <v>43965</v>
      </c>
      <c r="R266" s="49">
        <v>515.85</v>
      </c>
      <c r="S266" s="50">
        <v>12875.51</v>
      </c>
      <c r="T266" s="16">
        <f t="shared" ref="T266:U266" si="1112">R266/R267-1</f>
        <v>-5.2443056576046976E-2</v>
      </c>
      <c r="U266" s="16">
        <f t="shared" si="1112"/>
        <v>-2.5658779923387609E-2</v>
      </c>
      <c r="V266" s="16"/>
      <c r="W266" s="51">
        <v>44328</v>
      </c>
      <c r="X266" s="49">
        <v>962.1</v>
      </c>
      <c r="Y266" s="50">
        <v>21123.53</v>
      </c>
      <c r="Z266" s="16">
        <f t="shared" ref="Z266:AA266" si="1113">X266/X267-1</f>
        <v>-1.4494238156209982E-2</v>
      </c>
      <c r="AA266" s="16">
        <f t="shared" si="1113"/>
        <v>-6.1292568858275498E-3</v>
      </c>
      <c r="AB266" s="16"/>
      <c r="AC266" s="47">
        <v>44694</v>
      </c>
      <c r="AD266" s="50">
        <v>1202.3</v>
      </c>
      <c r="AE266" s="50">
        <v>22729.279999999999</v>
      </c>
      <c r="AF266" s="16">
        <f t="shared" ref="AF266:AG266" si="1114">AD266/AD267-1</f>
        <v>-9.2703226072267109E-3</v>
      </c>
      <c r="AG266" s="16">
        <f t="shared" si="1114"/>
        <v>-1.6357352814572179E-3</v>
      </c>
      <c r="AH266" s="16"/>
      <c r="AI266" s="51">
        <v>45054</v>
      </c>
      <c r="AJ266" s="50">
        <v>1043</v>
      </c>
      <c r="AK266" s="50">
        <v>26666.67</v>
      </c>
      <c r="AL266" s="16">
        <f t="shared" ref="AL266:AM266" si="1115">AJ266/AJ267-1</f>
        <v>5.9314269180692492E-3</v>
      </c>
      <c r="AM266" s="16">
        <f t="shared" si="1115"/>
        <v>9.7219412201665634E-4</v>
      </c>
      <c r="AN266" s="16"/>
      <c r="AO266" s="51">
        <v>45421</v>
      </c>
      <c r="AP266" s="50">
        <v>1267.5</v>
      </c>
      <c r="AQ266" s="50">
        <v>32522.55</v>
      </c>
      <c r="AR266" s="16">
        <f t="shared" ref="AR266:AS266" si="1116">AP266/AP267-1</f>
        <v>-1.4845328773511524E-2</v>
      </c>
      <c r="AS266" s="16">
        <f t="shared" si="1116"/>
        <v>5.9644809791115083E-3</v>
      </c>
    </row>
    <row r="267" spans="1:45" ht="15">
      <c r="A267" s="47">
        <v>43966</v>
      </c>
      <c r="B267" s="48">
        <v>6.08E-2</v>
      </c>
      <c r="C267" s="16"/>
      <c r="D267" s="51">
        <v>44323</v>
      </c>
      <c r="E267" s="48">
        <v>6.1699999999999998E-2</v>
      </c>
      <c r="F267" s="16"/>
      <c r="G267" s="51">
        <v>44690</v>
      </c>
      <c r="H267" s="48">
        <v>7.4800000000000005E-2</v>
      </c>
      <c r="I267" s="16"/>
      <c r="J267" s="47">
        <v>45061</v>
      </c>
      <c r="K267" s="48">
        <v>6.9800000000000001E-2</v>
      </c>
      <c r="L267" s="16"/>
      <c r="M267" s="51">
        <v>45419</v>
      </c>
      <c r="N267" s="48">
        <v>7.1199999999999999E-2</v>
      </c>
      <c r="O267" s="16"/>
      <c r="P267" s="16"/>
      <c r="Q267" s="54">
        <v>43964</v>
      </c>
      <c r="R267" s="49">
        <v>544.4</v>
      </c>
      <c r="S267" s="50">
        <v>13214.58</v>
      </c>
      <c r="T267" s="16">
        <f t="shared" ref="T267:U267" si="1117">R267/R268-1</f>
        <v>2.1580033777444108E-2</v>
      </c>
      <c r="U267" s="16">
        <f t="shared" si="1117"/>
        <v>2.0329249055499377E-2</v>
      </c>
      <c r="V267" s="16"/>
      <c r="W267" s="51">
        <v>44327</v>
      </c>
      <c r="X267" s="49">
        <v>976.25</v>
      </c>
      <c r="Y267" s="50">
        <v>21253.8</v>
      </c>
      <c r="Z267" s="16">
        <f t="shared" ref="Z267:AA267" si="1118">X267/X268-1</f>
        <v>-1.533108074032985E-2</v>
      </c>
      <c r="AA267" s="16">
        <f t="shared" si="1118"/>
        <v>8.0410694992378851E-3</v>
      </c>
      <c r="AB267" s="16"/>
      <c r="AC267" s="51">
        <v>44693</v>
      </c>
      <c r="AD267" s="50">
        <v>1213.55</v>
      </c>
      <c r="AE267" s="50">
        <v>22766.52</v>
      </c>
      <c r="AF267" s="16">
        <f t="shared" ref="AF267:AG267" si="1119">AD267/AD268-1</f>
        <v>-8.6995588956053638E-3</v>
      </c>
      <c r="AG267" s="16">
        <f t="shared" si="1119"/>
        <v>-2.1251587968625363E-2</v>
      </c>
      <c r="AH267" s="16"/>
      <c r="AI267" s="51">
        <v>45051</v>
      </c>
      <c r="AJ267" s="50">
        <v>1036.8499999999999</v>
      </c>
      <c r="AK267" s="50">
        <v>26640.77</v>
      </c>
      <c r="AL267" s="16">
        <f t="shared" ref="AL267:AM267" si="1120">AJ267/AJ268-1</f>
        <v>-7.8939814371830064E-3</v>
      </c>
      <c r="AM267" s="16">
        <f t="shared" si="1120"/>
        <v>-9.8773357892922853E-4</v>
      </c>
      <c r="AN267" s="16"/>
      <c r="AO267" s="51">
        <v>45420</v>
      </c>
      <c r="AP267" s="50">
        <v>1286.5999999999999</v>
      </c>
      <c r="AQ267" s="50">
        <v>32329.72</v>
      </c>
      <c r="AR267" s="16">
        <f t="shared" ref="AR267:AS267" si="1121">AP267/AP268-1</f>
        <v>-4.3336944745396844E-3</v>
      </c>
      <c r="AS267" s="16">
        <f t="shared" si="1121"/>
        <v>-1.5467915639517438E-2</v>
      </c>
    </row>
    <row r="268" spans="1:45" ht="15">
      <c r="A268" s="47">
        <v>43965</v>
      </c>
      <c r="B268" s="48">
        <v>6.0600000000000001E-2</v>
      </c>
      <c r="C268" s="16"/>
      <c r="D268" s="51">
        <v>44322</v>
      </c>
      <c r="E268" s="48">
        <v>6.1600000000000002E-2</v>
      </c>
      <c r="F268" s="16"/>
      <c r="G268" s="51">
        <v>44687</v>
      </c>
      <c r="H268" s="48">
        <v>7.4499999999999997E-2</v>
      </c>
      <c r="I268" s="16"/>
      <c r="J268" s="51">
        <v>45058</v>
      </c>
      <c r="K268" s="48">
        <v>7.0199999999999999E-2</v>
      </c>
      <c r="L268" s="16"/>
      <c r="M268" s="51">
        <v>45418</v>
      </c>
      <c r="N268" s="48">
        <v>7.1099999999999997E-2</v>
      </c>
      <c r="O268" s="16"/>
      <c r="P268" s="16"/>
      <c r="Q268" s="51">
        <v>43963</v>
      </c>
      <c r="R268" s="49">
        <v>532.9</v>
      </c>
      <c r="S268" s="50">
        <v>12951.29</v>
      </c>
      <c r="T268" s="16">
        <f t="shared" ref="T268:U268" si="1122">R268/R269-1</f>
        <v>5.0924179554883153E-3</v>
      </c>
      <c r="U268" s="16">
        <f t="shared" si="1122"/>
        <v>-4.6159699031999013E-3</v>
      </c>
      <c r="V268" s="16"/>
      <c r="W268" s="51">
        <v>44326</v>
      </c>
      <c r="X268" s="49">
        <v>991.45</v>
      </c>
      <c r="Y268" s="50">
        <v>21084.26</v>
      </c>
      <c r="Z268" s="16">
        <f t="shared" ref="Z268:AA268" si="1123">X268/X269-1</f>
        <v>1.0858482871125785E-2</v>
      </c>
      <c r="AA268" s="16">
        <f t="shared" si="1123"/>
        <v>6.6771993099827842E-3</v>
      </c>
      <c r="AB268" s="16"/>
      <c r="AC268" s="51">
        <v>44692</v>
      </c>
      <c r="AD268" s="50">
        <v>1224.2</v>
      </c>
      <c r="AE268" s="50">
        <v>23260.85</v>
      </c>
      <c r="AF268" s="16">
        <f t="shared" ref="AF268:AG268" si="1124">AD268/AD269-1</f>
        <v>-1.4688719868002686E-2</v>
      </c>
      <c r="AG268" s="16">
        <f t="shared" si="1124"/>
        <v>-4.4920334454487953E-3</v>
      </c>
      <c r="AH268" s="16"/>
      <c r="AI268" s="51">
        <v>45050</v>
      </c>
      <c r="AJ268" s="50">
        <v>1045.0999999999999</v>
      </c>
      <c r="AK268" s="50">
        <v>26667.11</v>
      </c>
      <c r="AL268" s="16">
        <f t="shared" ref="AL268:AM268" si="1125">AJ268/AJ269-1</f>
        <v>5.6290594178494135E-3</v>
      </c>
      <c r="AM268" s="16">
        <f t="shared" si="1125"/>
        <v>2.6918067403833845E-3</v>
      </c>
      <c r="AN268" s="16"/>
      <c r="AO268" s="51">
        <v>45419</v>
      </c>
      <c r="AP268" s="50">
        <v>1292.2</v>
      </c>
      <c r="AQ268" s="50">
        <v>32837.65</v>
      </c>
      <c r="AR268" s="16">
        <f t="shared" ref="AR268:AS268" si="1126">AP268/AP269-1</f>
        <v>2.3686920700308978E-2</v>
      </c>
      <c r="AS268" s="16">
        <f t="shared" si="1126"/>
        <v>-1.8271676068826181E-6</v>
      </c>
    </row>
    <row r="269" spans="1:45" ht="15">
      <c r="A269" s="47">
        <v>43964</v>
      </c>
      <c r="B269" s="48">
        <v>6.0999999999999999E-2</v>
      </c>
      <c r="C269" s="16"/>
      <c r="D269" s="51">
        <v>44321</v>
      </c>
      <c r="E269" s="48">
        <v>6.1800000000000001E-2</v>
      </c>
      <c r="F269" s="16"/>
      <c r="G269" s="51">
        <v>44686</v>
      </c>
      <c r="H269" s="48">
        <v>7.3999999999999996E-2</v>
      </c>
      <c r="I269" s="16"/>
      <c r="J269" s="51">
        <v>45057</v>
      </c>
      <c r="K269" s="48">
        <v>7.0199999999999999E-2</v>
      </c>
      <c r="L269" s="16"/>
      <c r="M269" s="51">
        <v>45415</v>
      </c>
      <c r="N269" s="48">
        <v>7.1499999999999994E-2</v>
      </c>
      <c r="O269" s="16"/>
      <c r="P269" s="16"/>
      <c r="Q269" s="51">
        <v>43962</v>
      </c>
      <c r="R269" s="49">
        <v>530.20000000000005</v>
      </c>
      <c r="S269" s="50">
        <v>13011.35</v>
      </c>
      <c r="T269" s="16">
        <f t="shared" ref="T269:U269" si="1127">R269/R270-1</f>
        <v>-1.0820895522387963E-2</v>
      </c>
      <c r="U269" s="16">
        <f t="shared" si="1127"/>
        <v>-1.32554330389556E-3</v>
      </c>
      <c r="V269" s="16"/>
      <c r="W269" s="51">
        <v>44323</v>
      </c>
      <c r="X269" s="49">
        <v>980.8</v>
      </c>
      <c r="Y269" s="50">
        <v>20944.41</v>
      </c>
      <c r="Z269" s="16">
        <f t="shared" ref="Z269:AA269" si="1128">X269/X270-1</f>
        <v>3.119406801329605E-3</v>
      </c>
      <c r="AA269" s="16">
        <f t="shared" si="1128"/>
        <v>7.3185957838115545E-3</v>
      </c>
      <c r="AB269" s="16"/>
      <c r="AC269" s="51">
        <v>44691</v>
      </c>
      <c r="AD269" s="50">
        <v>1242.45</v>
      </c>
      <c r="AE269" s="50">
        <v>23365.81</v>
      </c>
      <c r="AF269" s="16">
        <f t="shared" ref="AF269:AG269" si="1129">AD269/AD270-1</f>
        <v>-1.5062031788814489E-2</v>
      </c>
      <c r="AG269" s="16">
        <f t="shared" si="1129"/>
        <v>-3.7902834867707957E-3</v>
      </c>
      <c r="AH269" s="16"/>
      <c r="AI269" s="51">
        <v>45049</v>
      </c>
      <c r="AJ269" s="50">
        <v>1039.25</v>
      </c>
      <c r="AK269" s="50">
        <v>26595.52</v>
      </c>
      <c r="AL269" s="16">
        <f t="shared" ref="AL269:AM269" si="1130">AJ269/AJ270-1</f>
        <v>-1.3666777392872476E-2</v>
      </c>
      <c r="AM269" s="16">
        <f t="shared" si="1130"/>
        <v>8.385573954927672E-5</v>
      </c>
      <c r="AN269" s="16"/>
      <c r="AO269" s="51">
        <v>45418</v>
      </c>
      <c r="AP269" s="50">
        <v>1262.3</v>
      </c>
      <c r="AQ269" s="50">
        <v>32837.71</v>
      </c>
      <c r="AR269" s="16">
        <f t="shared" ref="AR269:AS269" si="1131">AP269/AP270-1</f>
        <v>1.0122834393630153E-2</v>
      </c>
      <c r="AS269" s="16">
        <f t="shared" si="1131"/>
        <v>-6.0542900495889063E-3</v>
      </c>
    </row>
    <row r="270" spans="1:45" ht="15">
      <c r="A270" s="51">
        <v>43963</v>
      </c>
      <c r="B270" s="48">
        <v>6.1699999999999998E-2</v>
      </c>
      <c r="C270" s="16"/>
      <c r="D270" s="51">
        <v>44320</v>
      </c>
      <c r="E270" s="48">
        <v>6.2E-2</v>
      </c>
      <c r="F270" s="16"/>
      <c r="G270" s="51">
        <v>44685</v>
      </c>
      <c r="H270" s="48">
        <v>7.1999999999999995E-2</v>
      </c>
      <c r="I270" s="16"/>
      <c r="J270" s="51">
        <v>45056</v>
      </c>
      <c r="K270" s="48">
        <v>7.0400000000000004E-2</v>
      </c>
      <c r="L270" s="16"/>
      <c r="M270" s="51">
        <v>45414</v>
      </c>
      <c r="N270" s="48">
        <v>7.17E-2</v>
      </c>
      <c r="O270" s="16"/>
      <c r="P270" s="16"/>
      <c r="Q270" s="51">
        <v>43959</v>
      </c>
      <c r="R270" s="49">
        <v>536</v>
      </c>
      <c r="S270" s="50">
        <v>13028.62</v>
      </c>
      <c r="T270" s="16">
        <f t="shared" ref="T270:U270" si="1132">R270/R271-1</f>
        <v>3.8659044666214504E-2</v>
      </c>
      <c r="U270" s="16">
        <f t="shared" si="1132"/>
        <v>5.6974976861876581E-3</v>
      </c>
      <c r="V270" s="16"/>
      <c r="W270" s="51">
        <v>44322</v>
      </c>
      <c r="X270" s="49">
        <v>977.75</v>
      </c>
      <c r="Y270" s="50">
        <v>20792.240000000002</v>
      </c>
      <c r="Z270" s="16">
        <f t="shared" ref="Z270:AA270" si="1133">X270/X271-1</f>
        <v>1.6689196215035729E-2</v>
      </c>
      <c r="AA270" s="16">
        <f t="shared" si="1133"/>
        <v>8.3716382746144014E-3</v>
      </c>
      <c r="AB270" s="16"/>
      <c r="AC270" s="51">
        <v>44690</v>
      </c>
      <c r="AD270" s="50">
        <v>1261.45</v>
      </c>
      <c r="AE270" s="50">
        <v>23454.71</v>
      </c>
      <c r="AF270" s="16">
        <f t="shared" ref="AF270:AG270" si="1134">AD270/AD271-1</f>
        <v>-2.326751838946961E-2</v>
      </c>
      <c r="AG270" s="16">
        <f t="shared" si="1134"/>
        <v>-6.6681743643953739E-3</v>
      </c>
      <c r="AH270" s="16"/>
      <c r="AI270" s="51">
        <v>45048</v>
      </c>
      <c r="AJ270" s="50">
        <v>1053.6500000000001</v>
      </c>
      <c r="AK270" s="50">
        <v>26593.29</v>
      </c>
      <c r="AL270" s="16">
        <f t="shared" ref="AL270:AM270" si="1135">AJ270/AJ271-1</f>
        <v>2.9206349206349236E-2</v>
      </c>
      <c r="AM270" s="16">
        <f t="shared" si="1135"/>
        <v>1.0814260486423199E-2</v>
      </c>
      <c r="AN270" s="16"/>
      <c r="AO270" s="51">
        <v>45415</v>
      </c>
      <c r="AP270" s="50">
        <v>1249.6500000000001</v>
      </c>
      <c r="AQ270" s="50">
        <v>33037.730000000003</v>
      </c>
      <c r="AR270" s="16">
        <f t="shared" ref="AR270:AS270" si="1136">AP270/AP271-1</f>
        <v>-1.3615912858157664E-2</v>
      </c>
      <c r="AS270" s="16">
        <f t="shared" si="1136"/>
        <v>-1.4743168741579993E-3</v>
      </c>
    </row>
    <row r="271" spans="1:45" ht="15">
      <c r="A271" s="51">
        <v>43962</v>
      </c>
      <c r="B271" s="48">
        <v>6.1800000000000001E-2</v>
      </c>
      <c r="C271" s="16"/>
      <c r="D271" s="51">
        <v>44319</v>
      </c>
      <c r="E271" s="48">
        <v>6.1800000000000001E-2</v>
      </c>
      <c r="F271" s="16"/>
      <c r="G271" s="51">
        <v>44683</v>
      </c>
      <c r="H271" s="48">
        <v>7.1199999999999999E-2</v>
      </c>
      <c r="I271" s="16"/>
      <c r="J271" s="51">
        <v>45055</v>
      </c>
      <c r="K271" s="48">
        <v>7.0499999999999993E-2</v>
      </c>
      <c r="L271" s="16"/>
      <c r="M271" s="47">
        <v>45412</v>
      </c>
      <c r="N271" s="48">
        <v>7.1999999999999995E-2</v>
      </c>
      <c r="O271" s="16"/>
      <c r="P271" s="16"/>
      <c r="Q271" s="52">
        <v>43958</v>
      </c>
      <c r="R271" s="49">
        <v>516.04999999999995</v>
      </c>
      <c r="S271" s="50">
        <v>12954.81</v>
      </c>
      <c r="T271" s="16">
        <f t="shared" ref="T271:U271" si="1137">R271/R272-1</f>
        <v>1.7348447511089216E-2</v>
      </c>
      <c r="U271" s="16">
        <f t="shared" si="1137"/>
        <v>-7.7496995631890497E-3</v>
      </c>
      <c r="V271" s="16"/>
      <c r="W271" s="51">
        <v>44321</v>
      </c>
      <c r="X271" s="49">
        <v>961.7</v>
      </c>
      <c r="Y271" s="50">
        <v>20619.62</v>
      </c>
      <c r="Z271" s="16">
        <f t="shared" ref="Z271:AA271" si="1138">X271/X272-1</f>
        <v>8.8463339751254644E-4</v>
      </c>
      <c r="AA271" s="16">
        <f t="shared" si="1138"/>
        <v>-9.4069639685561146E-3</v>
      </c>
      <c r="AB271" s="16"/>
      <c r="AC271" s="51">
        <v>44687</v>
      </c>
      <c r="AD271" s="50">
        <v>1291.5</v>
      </c>
      <c r="AE271" s="50">
        <v>23612.16</v>
      </c>
      <c r="AF271" s="16">
        <f t="shared" ref="AF271:AG271" si="1139">AD271/AD272-1</f>
        <v>2.2120216849353058E-2</v>
      </c>
      <c r="AG271" s="16">
        <f t="shared" si="1139"/>
        <v>-1.6265751431721154E-2</v>
      </c>
      <c r="AH271" s="16"/>
      <c r="AI271" s="47">
        <v>45044</v>
      </c>
      <c r="AJ271" s="50">
        <v>1023.75</v>
      </c>
      <c r="AK271" s="50">
        <v>26308.78</v>
      </c>
      <c r="AL271" s="16">
        <f t="shared" ref="AL271:AM271" si="1140">AJ271/AJ272-1</f>
        <v>1.9468233419637437E-2</v>
      </c>
      <c r="AM271" s="16">
        <f t="shared" si="1140"/>
        <v>-1.0232585436765085E-2</v>
      </c>
      <c r="AN271" s="16"/>
      <c r="AO271" s="51">
        <v>45414</v>
      </c>
      <c r="AP271" s="50">
        <v>1266.9000000000001</v>
      </c>
      <c r="AQ271" s="50">
        <v>33086.51</v>
      </c>
      <c r="AR271" s="16">
        <f t="shared" ref="AR271:AS271" si="1141">AP271/AP272-1</f>
        <v>3.9225008914776094E-3</v>
      </c>
      <c r="AS271" s="16">
        <f t="shared" si="1141"/>
        <v>-7.6091325187009895E-3</v>
      </c>
    </row>
    <row r="272" spans="1:45" ht="15">
      <c r="A272" s="51">
        <v>43959</v>
      </c>
      <c r="B272" s="48">
        <v>5.9700000000000003E-2</v>
      </c>
      <c r="C272" s="16"/>
      <c r="D272" s="47">
        <v>44316</v>
      </c>
      <c r="E272" s="48">
        <v>6.2100000000000002E-2</v>
      </c>
      <c r="F272" s="16"/>
      <c r="G272" s="47">
        <v>44680</v>
      </c>
      <c r="H272" s="48">
        <v>7.1400000000000005E-2</v>
      </c>
      <c r="I272" s="16"/>
      <c r="J272" s="51">
        <v>45054</v>
      </c>
      <c r="K272" s="48">
        <v>7.0400000000000004E-2</v>
      </c>
      <c r="L272" s="16"/>
      <c r="M272" s="47">
        <v>45411</v>
      </c>
      <c r="N272" s="48">
        <v>7.1900000000000006E-2</v>
      </c>
      <c r="O272" s="16"/>
      <c r="P272" s="16"/>
      <c r="Q272" s="52">
        <v>43957</v>
      </c>
      <c r="R272" s="49">
        <v>507.25</v>
      </c>
      <c r="S272" s="50">
        <v>13055.99</v>
      </c>
      <c r="T272" s="16">
        <f t="shared" ref="T272:U272" si="1142">R272/R273-1</f>
        <v>1.5007503751875984E-2</v>
      </c>
      <c r="U272" s="16">
        <f t="shared" si="1142"/>
        <v>7.0965806051994651E-3</v>
      </c>
      <c r="V272" s="16"/>
      <c r="W272" s="51">
        <v>44320</v>
      </c>
      <c r="X272" s="49">
        <v>960.85</v>
      </c>
      <c r="Y272" s="50">
        <v>20815.43</v>
      </c>
      <c r="Z272" s="16">
        <f t="shared" ref="Z272:AA272" si="1143">X272/X273-1</f>
        <v>3.5510992741134562E-3</v>
      </c>
      <c r="AA272" s="16">
        <f t="shared" si="1143"/>
        <v>2.0662020755235488E-4</v>
      </c>
      <c r="AB272" s="16"/>
      <c r="AC272" s="51">
        <v>44686</v>
      </c>
      <c r="AD272" s="50">
        <v>1263.55</v>
      </c>
      <c r="AE272" s="50">
        <v>24002.58</v>
      </c>
      <c r="AF272" s="16">
        <f t="shared" ref="AF272:AG272" si="1144">AD272/AD273-1</f>
        <v>4.0729758668972993E-2</v>
      </c>
      <c r="AG272" s="16">
        <f t="shared" si="1144"/>
        <v>3.0130837849839942E-4</v>
      </c>
      <c r="AH272" s="16"/>
      <c r="AI272" s="47">
        <v>45043</v>
      </c>
      <c r="AJ272" s="50">
        <v>1004.2</v>
      </c>
      <c r="AK272" s="50">
        <v>26580.77</v>
      </c>
      <c r="AL272" s="16">
        <f t="shared" ref="AL272:AM272" si="1145">AJ272/AJ273-1</f>
        <v>8.0305159606504084E-3</v>
      </c>
      <c r="AM272" s="16">
        <f t="shared" si="1145"/>
        <v>9.1737999038692397E-3</v>
      </c>
      <c r="AN272" s="16"/>
      <c r="AO272" s="47">
        <v>45412</v>
      </c>
      <c r="AP272" s="50">
        <v>1261.95</v>
      </c>
      <c r="AQ272" s="50">
        <v>33340.199999999997</v>
      </c>
      <c r="AR272" s="16">
        <f t="shared" ref="AR272:AS272" si="1146">AP272/AP273-1</f>
        <v>-2.0833333333333259E-2</v>
      </c>
      <c r="AS272" s="16">
        <f t="shared" si="1146"/>
        <v>1.9169736158435313E-3</v>
      </c>
    </row>
    <row r="273" spans="1:45" ht="15">
      <c r="A273" s="51">
        <v>43958</v>
      </c>
      <c r="B273" s="48">
        <v>6.0299999999999999E-2</v>
      </c>
      <c r="C273" s="16"/>
      <c r="D273" s="47">
        <v>44315</v>
      </c>
      <c r="E273" s="48">
        <v>6.2300000000000001E-2</v>
      </c>
      <c r="F273" s="16"/>
      <c r="G273" s="47">
        <v>44679</v>
      </c>
      <c r="H273" s="48">
        <v>7.1599999999999997E-2</v>
      </c>
      <c r="I273" s="16"/>
      <c r="J273" s="51">
        <v>45050</v>
      </c>
      <c r="K273" s="48">
        <v>7.0400000000000004E-2</v>
      </c>
      <c r="L273" s="16"/>
      <c r="M273" s="47">
        <v>45408</v>
      </c>
      <c r="N273" s="48">
        <v>7.1999999999999995E-2</v>
      </c>
      <c r="O273" s="16"/>
      <c r="P273" s="16"/>
      <c r="Q273" s="52">
        <v>43956</v>
      </c>
      <c r="R273" s="49">
        <v>499.75</v>
      </c>
      <c r="S273" s="50">
        <v>12963.99</v>
      </c>
      <c r="T273" s="16">
        <f t="shared" ref="T273:U273" si="1147">R273/R274-1</f>
        <v>-5.3736690217931482E-3</v>
      </c>
      <c r="U273" s="16">
        <f t="shared" si="1147"/>
        <v>-9.371396608599758E-3</v>
      </c>
      <c r="V273" s="16"/>
      <c r="W273" s="51">
        <v>44319</v>
      </c>
      <c r="X273" s="49">
        <v>957.45</v>
      </c>
      <c r="Y273" s="50">
        <v>20811.13</v>
      </c>
      <c r="Z273" s="16">
        <f t="shared" ref="Z273:AA273" si="1148">X273/X274-1</f>
        <v>-4.47101637639713E-3</v>
      </c>
      <c r="AA273" s="16">
        <f t="shared" si="1148"/>
        <v>-1.7708141582060022E-2</v>
      </c>
      <c r="AB273" s="16"/>
      <c r="AC273" s="51">
        <v>44685</v>
      </c>
      <c r="AD273" s="50">
        <v>1214.0999999999999</v>
      </c>
      <c r="AE273" s="50">
        <v>23995.35</v>
      </c>
      <c r="AF273" s="16">
        <f t="shared" ref="AF273:AG273" si="1149">AD273/AD274-1</f>
        <v>-1.3968975879152135E-2</v>
      </c>
      <c r="AG273" s="16">
        <f t="shared" si="1149"/>
        <v>-2.2935337138380474E-2</v>
      </c>
      <c r="AH273" s="16"/>
      <c r="AI273" s="47">
        <v>45042</v>
      </c>
      <c r="AJ273" s="49">
        <v>996.2</v>
      </c>
      <c r="AK273" s="50">
        <v>26339.14</v>
      </c>
      <c r="AL273" s="16">
        <f t="shared" ref="AL273:AM273" si="1150">AJ273/AJ274-1</f>
        <v>-5.5179332831700734E-4</v>
      </c>
      <c r="AM273" s="16">
        <f t="shared" si="1150"/>
        <v>-3.1850677243190351E-3</v>
      </c>
      <c r="AN273" s="16"/>
      <c r="AO273" s="47">
        <v>45411</v>
      </c>
      <c r="AP273" s="50">
        <v>1288.8</v>
      </c>
      <c r="AQ273" s="50">
        <v>33276.410000000003</v>
      </c>
      <c r="AR273" s="16">
        <f t="shared" ref="AR273:AS273" si="1151">AP273/AP274-1</f>
        <v>8.8848878625384931E-3</v>
      </c>
      <c r="AS273" s="16">
        <f t="shared" si="1151"/>
        <v>-1.7013108883896511E-3</v>
      </c>
    </row>
    <row r="274" spans="1:45" ht="15">
      <c r="A274" s="51">
        <v>43957</v>
      </c>
      <c r="B274" s="48">
        <v>6.0299999999999999E-2</v>
      </c>
      <c r="C274" s="16"/>
      <c r="D274" s="47">
        <v>44314</v>
      </c>
      <c r="E274" s="48">
        <v>6.2300000000000001E-2</v>
      </c>
      <c r="F274" s="16"/>
      <c r="G274" s="47">
        <v>44678</v>
      </c>
      <c r="H274" s="48">
        <v>7.0800000000000002E-2</v>
      </c>
      <c r="I274" s="16"/>
      <c r="J274" s="51">
        <v>45049</v>
      </c>
      <c r="K274" s="48">
        <v>7.0199999999999999E-2</v>
      </c>
      <c r="L274" s="16"/>
      <c r="M274" s="47">
        <v>45407</v>
      </c>
      <c r="N274" s="48">
        <v>7.1999999999999995E-2</v>
      </c>
      <c r="O274" s="16"/>
      <c r="P274" s="16"/>
      <c r="Q274" s="52">
        <v>43955</v>
      </c>
      <c r="R274" s="49">
        <v>502.45</v>
      </c>
      <c r="S274" s="50">
        <v>13086.63</v>
      </c>
      <c r="T274" s="16">
        <f t="shared" ref="T274:U274" si="1152">R274/R275-1</f>
        <v>-7.9930415674784872E-2</v>
      </c>
      <c r="U274" s="16">
        <f t="shared" si="1152"/>
        <v>-5.7443075500317686E-2</v>
      </c>
      <c r="V274" s="16"/>
      <c r="W274" s="47">
        <v>44316</v>
      </c>
      <c r="X274" s="49">
        <v>961.75</v>
      </c>
      <c r="Y274" s="50">
        <v>21186.3</v>
      </c>
      <c r="Z274" s="16">
        <f t="shared" ref="Z274:AA274" si="1153">X274/X275-1</f>
        <v>-1.5407452907452823E-2</v>
      </c>
      <c r="AA274" s="16">
        <f t="shared" si="1153"/>
        <v>2.3603819191622133E-3</v>
      </c>
      <c r="AB274" s="16"/>
      <c r="AC274" s="51">
        <v>44683</v>
      </c>
      <c r="AD274" s="50">
        <v>1231.3</v>
      </c>
      <c r="AE274" s="50">
        <v>24558.61</v>
      </c>
      <c r="AF274" s="16">
        <f t="shared" ref="AF274:AG274" si="1154">AD274/AD275-1</f>
        <v>-2.0094703752337795E-2</v>
      </c>
      <c r="AG274" s="16">
        <f t="shared" si="1154"/>
        <v>-1.9575905502466906E-3</v>
      </c>
      <c r="AH274" s="16"/>
      <c r="AI274" s="47">
        <v>45041</v>
      </c>
      <c r="AJ274" s="49">
        <v>996.75</v>
      </c>
      <c r="AK274" s="50">
        <v>26423.3</v>
      </c>
      <c r="AL274" s="16">
        <f t="shared" ref="AL274:AM274" si="1155">AJ274/AJ275-1</f>
        <v>-9.0470746135109525E-3</v>
      </c>
      <c r="AM274" s="16">
        <f t="shared" si="1155"/>
        <v>4.5766781786964472E-3</v>
      </c>
      <c r="AN274" s="16"/>
      <c r="AO274" s="47">
        <v>45408</v>
      </c>
      <c r="AP274" s="50">
        <v>1277.45</v>
      </c>
      <c r="AQ274" s="50">
        <v>33333.120000000003</v>
      </c>
      <c r="AR274" s="16">
        <f t="shared" ref="AR274:AS274" si="1156">AP274/AP275-1</f>
        <v>7.3397193513150327E-2</v>
      </c>
      <c r="AS274" s="16">
        <f t="shared" si="1156"/>
        <v>3.2348511571185234E-3</v>
      </c>
    </row>
    <row r="275" spans="1:45" ht="15">
      <c r="A275" s="51">
        <v>43956</v>
      </c>
      <c r="B275" s="48">
        <v>6.0699999999999997E-2</v>
      </c>
      <c r="C275" s="16"/>
      <c r="D275" s="47">
        <v>44313</v>
      </c>
      <c r="E275" s="48">
        <v>6.2199999999999998E-2</v>
      </c>
      <c r="F275" s="16"/>
      <c r="G275" s="47">
        <v>44677</v>
      </c>
      <c r="H275" s="48">
        <v>7.0599999999999996E-2</v>
      </c>
      <c r="I275" s="16"/>
      <c r="J275" s="51">
        <v>45048</v>
      </c>
      <c r="K275" s="48">
        <v>7.1599999999999997E-2</v>
      </c>
      <c r="L275" s="16"/>
      <c r="M275" s="47">
        <v>45406</v>
      </c>
      <c r="N275" s="48">
        <v>7.1900000000000006E-2</v>
      </c>
      <c r="O275" s="16"/>
      <c r="P275" s="16"/>
      <c r="Q275" s="47">
        <v>43951</v>
      </c>
      <c r="R275" s="49">
        <v>546.1</v>
      </c>
      <c r="S275" s="50">
        <v>13884.18</v>
      </c>
      <c r="T275" s="16">
        <f t="shared" ref="T275:U275" si="1157">R275/R276-1</f>
        <v>3.2617944596766479E-2</v>
      </c>
      <c r="U275" s="16">
        <f t="shared" si="1157"/>
        <v>3.2088435541025362E-2</v>
      </c>
      <c r="V275" s="16"/>
      <c r="W275" s="47">
        <v>44315</v>
      </c>
      <c r="X275" s="49">
        <v>976.8</v>
      </c>
      <c r="Y275" s="50">
        <v>21136.41</v>
      </c>
      <c r="Z275" s="16">
        <f t="shared" ref="Z275:AA275" si="1158">X275/X276-1</f>
        <v>-9.2052776925444224E-4</v>
      </c>
      <c r="AA275" s="16">
        <f t="shared" si="1158"/>
        <v>1.443390109365339E-2</v>
      </c>
      <c r="AB275" s="16"/>
      <c r="AC275" s="47">
        <v>44680</v>
      </c>
      <c r="AD275" s="50">
        <v>1256.55</v>
      </c>
      <c r="AE275" s="50">
        <v>24606.78</v>
      </c>
      <c r="AF275" s="16">
        <f t="shared" ref="AF275:AG275" si="1159">AD275/AD276-1</f>
        <v>-1.0122892705215158E-2</v>
      </c>
      <c r="AG275" s="16">
        <f t="shared" si="1159"/>
        <v>-8.2622044851276E-3</v>
      </c>
      <c r="AH275" s="16"/>
      <c r="AI275" s="47">
        <v>45040</v>
      </c>
      <c r="AJ275" s="50">
        <v>1005.85</v>
      </c>
      <c r="AK275" s="50">
        <v>26302.92</v>
      </c>
      <c r="AL275" s="16">
        <f t="shared" ref="AL275:AM275" si="1160">AJ275/AJ276-1</f>
        <v>7.5628568566563636E-3</v>
      </c>
      <c r="AM275" s="16">
        <f t="shared" si="1160"/>
        <v>8.6101974125691871E-3</v>
      </c>
      <c r="AN275" s="16"/>
      <c r="AO275" s="47">
        <v>45407</v>
      </c>
      <c r="AP275" s="50">
        <v>1190.0999999999999</v>
      </c>
      <c r="AQ275" s="50">
        <v>33225.64</v>
      </c>
      <c r="AR275" s="16">
        <f t="shared" ref="AR275:AS275" si="1161">AP275/AP276-1</f>
        <v>3.3723969311187929E-3</v>
      </c>
      <c r="AS275" s="16">
        <f t="shared" si="1161"/>
        <v>7.4979448650736025E-3</v>
      </c>
    </row>
    <row r="276" spans="1:45" ht="15">
      <c r="A276" s="51">
        <v>43955</v>
      </c>
      <c r="B276" s="48">
        <v>6.08E-2</v>
      </c>
      <c r="C276" s="16"/>
      <c r="D276" s="47">
        <v>44312</v>
      </c>
      <c r="E276" s="48">
        <v>6.2199999999999998E-2</v>
      </c>
      <c r="F276" s="16"/>
      <c r="G276" s="47">
        <v>44676</v>
      </c>
      <c r="H276" s="48">
        <v>7.0400000000000004E-2</v>
      </c>
      <c r="I276" s="16"/>
      <c r="J276" s="51">
        <v>45047</v>
      </c>
      <c r="K276" s="48">
        <v>7.1599999999999997E-2</v>
      </c>
      <c r="L276" s="16"/>
      <c r="M276" s="47">
        <v>45405</v>
      </c>
      <c r="N276" s="48">
        <v>7.17E-2</v>
      </c>
      <c r="O276" s="16"/>
      <c r="P276" s="16"/>
      <c r="Q276" s="47">
        <v>43950</v>
      </c>
      <c r="R276" s="49">
        <v>528.85</v>
      </c>
      <c r="S276" s="50">
        <v>13452.51</v>
      </c>
      <c r="T276" s="16">
        <f t="shared" ref="T276:U276" si="1162">R276/R277-1</f>
        <v>1.6237509607993861E-2</v>
      </c>
      <c r="U276" s="16">
        <f t="shared" si="1162"/>
        <v>1.8489902932173674E-2</v>
      </c>
      <c r="V276" s="16"/>
      <c r="W276" s="47">
        <v>44314</v>
      </c>
      <c r="X276" s="49">
        <v>977.7</v>
      </c>
      <c r="Y276" s="50">
        <v>20835.669999999998</v>
      </c>
      <c r="Z276" s="16">
        <f t="shared" ref="Z276:AA276" si="1163">X276/X277-1</f>
        <v>8.718080990456567E-3</v>
      </c>
      <c r="AA276" s="16">
        <f t="shared" si="1163"/>
        <v>1.1601361770223528E-2</v>
      </c>
      <c r="AB276" s="16"/>
      <c r="AC276" s="47">
        <v>44679</v>
      </c>
      <c r="AD276" s="50">
        <v>1269.4000000000001</v>
      </c>
      <c r="AE276" s="50">
        <v>24811.78</v>
      </c>
      <c r="AF276" s="16">
        <f t="shared" ref="AF276:AG276" si="1164">AD276/AD277-1</f>
        <v>6.2623860483552729E-3</v>
      </c>
      <c r="AG276" s="16">
        <f t="shared" si="1164"/>
        <v>1.2382743805159802E-2</v>
      </c>
      <c r="AH276" s="16"/>
      <c r="AI276" s="47">
        <v>45037</v>
      </c>
      <c r="AJ276" s="49">
        <v>998.3</v>
      </c>
      <c r="AK276" s="50">
        <v>26078.38</v>
      </c>
      <c r="AL276" s="16">
        <f t="shared" ref="AL276:AM276" si="1165">AJ276/AJ277-1</f>
        <v>-2.2616017231251284E-2</v>
      </c>
      <c r="AM276" s="16">
        <f t="shared" si="1165"/>
        <v>5.6951798447399948E-3</v>
      </c>
      <c r="AN276" s="16"/>
      <c r="AO276" s="47">
        <v>45406</v>
      </c>
      <c r="AP276" s="50">
        <v>1186.0999999999999</v>
      </c>
      <c r="AQ276" s="50">
        <v>32978.370000000003</v>
      </c>
      <c r="AR276" s="16">
        <f t="shared" ref="AR276:AS276" si="1166">AP276/AP277-1</f>
        <v>-1.1665694525456183E-2</v>
      </c>
      <c r="AS276" s="16">
        <f t="shared" si="1166"/>
        <v>1.5379134850777021E-3</v>
      </c>
    </row>
    <row r="277" spans="1:45" ht="15">
      <c r="A277" s="51">
        <v>43952</v>
      </c>
      <c r="B277" s="48">
        <v>6.1199999999999997E-2</v>
      </c>
      <c r="C277" s="16"/>
      <c r="D277" s="47">
        <v>44309</v>
      </c>
      <c r="E277" s="48">
        <v>6.25E-2</v>
      </c>
      <c r="F277" s="16"/>
      <c r="G277" s="47">
        <v>44673</v>
      </c>
      <c r="H277" s="48">
        <v>7.17E-2</v>
      </c>
      <c r="I277" s="16"/>
      <c r="J277" s="47">
        <v>45044</v>
      </c>
      <c r="K277" s="48">
        <v>7.1499999999999994E-2</v>
      </c>
      <c r="L277" s="16"/>
      <c r="M277" s="47">
        <v>45404</v>
      </c>
      <c r="N277" s="48">
        <v>7.2099999999999997E-2</v>
      </c>
      <c r="O277" s="16"/>
      <c r="P277" s="16"/>
      <c r="Q277" s="47">
        <v>43949</v>
      </c>
      <c r="R277" s="49">
        <v>520.4</v>
      </c>
      <c r="S277" s="50">
        <v>13208.29</v>
      </c>
      <c r="T277" s="16">
        <f t="shared" ref="T277:U277" si="1167">R277/R278-1</f>
        <v>1.6803438843298046E-2</v>
      </c>
      <c r="U277" s="16">
        <f t="shared" si="1167"/>
        <v>1.0620154267687587E-2</v>
      </c>
      <c r="V277" s="16"/>
      <c r="W277" s="47">
        <v>44313</v>
      </c>
      <c r="X277" s="49">
        <v>969.25</v>
      </c>
      <c r="Y277" s="50">
        <v>20596.72</v>
      </c>
      <c r="Z277" s="16">
        <f t="shared" ref="Z277:AA277" si="1168">X277/X278-1</f>
        <v>6.3333852463272056E-3</v>
      </c>
      <c r="AA277" s="16">
        <f t="shared" si="1168"/>
        <v>1.0017437834805465E-2</v>
      </c>
      <c r="AB277" s="16"/>
      <c r="AC277" s="47">
        <v>44678</v>
      </c>
      <c r="AD277" s="50">
        <v>1261.5</v>
      </c>
      <c r="AE277" s="50">
        <v>24508.3</v>
      </c>
      <c r="AF277" s="16">
        <f t="shared" ref="AF277:AG277" si="1169">AD277/AD278-1</f>
        <v>-1.0743412797992513E-2</v>
      </c>
      <c r="AG277" s="16">
        <f t="shared" si="1169"/>
        <v>-9.4406730612225376E-3</v>
      </c>
      <c r="AH277" s="16"/>
      <c r="AI277" s="47">
        <v>45036</v>
      </c>
      <c r="AJ277" s="50">
        <v>1021.4</v>
      </c>
      <c r="AK277" s="50">
        <v>25930.7</v>
      </c>
      <c r="AL277" s="16">
        <f t="shared" ref="AL277:AM277" si="1170">AJ277/AJ278-1</f>
        <v>6.7021486300018474E-3</v>
      </c>
      <c r="AM277" s="16">
        <f t="shared" si="1170"/>
        <v>2.4978649652884766E-3</v>
      </c>
      <c r="AN277" s="16"/>
      <c r="AO277" s="47">
        <v>45405</v>
      </c>
      <c r="AP277" s="50">
        <v>1200.0999999999999</v>
      </c>
      <c r="AQ277" s="50">
        <v>32927.730000000003</v>
      </c>
      <c r="AR277" s="16">
        <f t="shared" ref="AR277:AS277" si="1171">AP277/AP278-1</f>
        <v>-6.2518113691882871E-3</v>
      </c>
      <c r="AS277" s="16">
        <f t="shared" si="1171"/>
        <v>1.4144852289543763E-3</v>
      </c>
    </row>
    <row r="278" spans="1:45" ht="15">
      <c r="A278" s="47">
        <v>43951</v>
      </c>
      <c r="B278" s="48">
        <v>6.1199999999999997E-2</v>
      </c>
      <c r="C278" s="16"/>
      <c r="D278" s="47">
        <v>44308</v>
      </c>
      <c r="E278" s="48">
        <v>6.25E-2</v>
      </c>
      <c r="F278" s="16"/>
      <c r="G278" s="47">
        <v>44672</v>
      </c>
      <c r="H278" s="48">
        <v>7.1499999999999994E-2</v>
      </c>
      <c r="I278" s="16"/>
      <c r="J278" s="47">
        <v>45043</v>
      </c>
      <c r="K278" s="48">
        <v>7.1499999999999994E-2</v>
      </c>
      <c r="L278" s="16"/>
      <c r="M278" s="47">
        <v>45401</v>
      </c>
      <c r="N278" s="48">
        <v>7.22E-2</v>
      </c>
      <c r="O278" s="16"/>
      <c r="P278" s="16"/>
      <c r="Q278" s="47">
        <v>43948</v>
      </c>
      <c r="R278" s="49">
        <v>511.8</v>
      </c>
      <c r="S278" s="50">
        <v>13069.49</v>
      </c>
      <c r="T278" s="16">
        <f t="shared" ref="T278:U278" si="1172">R278/R279-1</f>
        <v>1.6383675901102235E-2</v>
      </c>
      <c r="U278" s="16">
        <f t="shared" si="1172"/>
        <v>1.3972732611861494E-2</v>
      </c>
      <c r="V278" s="16"/>
      <c r="W278" s="47">
        <v>44312</v>
      </c>
      <c r="X278" s="49">
        <v>963.15</v>
      </c>
      <c r="Y278" s="50">
        <v>20392.439999999999</v>
      </c>
      <c r="Z278" s="16">
        <f t="shared" ref="Z278:AA278" si="1173">X278/X279-1</f>
        <v>1.3415404040403978E-2</v>
      </c>
      <c r="AA278" s="16">
        <f t="shared" si="1173"/>
        <v>-4.5004474086182134E-3</v>
      </c>
      <c r="AB278" s="16"/>
      <c r="AC278" s="47">
        <v>44677</v>
      </c>
      <c r="AD278" s="50">
        <v>1275.2</v>
      </c>
      <c r="AE278" s="50">
        <v>24741.88</v>
      </c>
      <c r="AF278" s="16">
        <f t="shared" ref="AF278:AG278" si="1174">AD278/AD279-1</f>
        <v>3.343955309020874E-3</v>
      </c>
      <c r="AG278" s="16">
        <f t="shared" si="1174"/>
        <v>1.4561167977076295E-2</v>
      </c>
      <c r="AH278" s="16"/>
      <c r="AI278" s="47">
        <v>45035</v>
      </c>
      <c r="AJ278" s="50">
        <v>1014.6</v>
      </c>
      <c r="AK278" s="50">
        <v>25866.09</v>
      </c>
      <c r="AL278" s="16">
        <f t="shared" ref="AL278:AM278" si="1175">AJ278/AJ279-1</f>
        <v>-1.029117690094139E-2</v>
      </c>
      <c r="AM278" s="16">
        <f t="shared" si="1175"/>
        <v>1.4569200021992135E-3</v>
      </c>
      <c r="AN278" s="16"/>
      <c r="AO278" s="47">
        <v>45404</v>
      </c>
      <c r="AP278" s="50">
        <v>1207.6500000000001</v>
      </c>
      <c r="AQ278" s="50">
        <v>32881.22</v>
      </c>
      <c r="AR278" s="16">
        <f t="shared" ref="AR278:AS278" si="1176">AP278/AP279-1</f>
        <v>1.1643979057591736E-2</v>
      </c>
      <c r="AS278" s="16">
        <f t="shared" si="1176"/>
        <v>8.5515124337396387E-3</v>
      </c>
    </row>
    <row r="279" spans="1:45" ht="15">
      <c r="A279" s="47">
        <v>43950</v>
      </c>
      <c r="B279" s="48">
        <v>6.13E-2</v>
      </c>
      <c r="C279" s="16"/>
      <c r="D279" s="47">
        <v>44306</v>
      </c>
      <c r="E279" s="48">
        <v>6.2899999999999998E-2</v>
      </c>
      <c r="F279" s="16"/>
      <c r="G279" s="47">
        <v>44671</v>
      </c>
      <c r="H279" s="48">
        <v>7.1099999999999997E-2</v>
      </c>
      <c r="I279" s="16"/>
      <c r="J279" s="47">
        <v>45042</v>
      </c>
      <c r="K279" s="48">
        <v>7.1499999999999994E-2</v>
      </c>
      <c r="L279" s="16"/>
      <c r="M279" s="47">
        <v>45400</v>
      </c>
      <c r="N279" s="48">
        <v>7.17E-2</v>
      </c>
      <c r="O279" s="16"/>
      <c r="P279" s="16"/>
      <c r="Q279" s="47">
        <v>43945</v>
      </c>
      <c r="R279" s="49">
        <v>503.55</v>
      </c>
      <c r="S279" s="50">
        <v>12889.39</v>
      </c>
      <c r="T279" s="16">
        <f t="shared" ref="T279:U279" si="1177">R279/R280-1</f>
        <v>-3.7925105082155075E-2</v>
      </c>
      <c r="U279" s="16">
        <f t="shared" si="1177"/>
        <v>-1.7125248875817123E-2</v>
      </c>
      <c r="V279" s="16"/>
      <c r="W279" s="47">
        <v>44309</v>
      </c>
      <c r="X279" s="49">
        <v>950.4</v>
      </c>
      <c r="Y279" s="50">
        <v>20484.63</v>
      </c>
      <c r="Z279" s="16">
        <f t="shared" ref="Z279:AA279" si="1178">X279/X280-1</f>
        <v>-1.8435321456235498E-2</v>
      </c>
      <c r="AA279" s="16">
        <f t="shared" si="1178"/>
        <v>7.6778717616359238E-3</v>
      </c>
      <c r="AB279" s="16"/>
      <c r="AC279" s="47">
        <v>44676</v>
      </c>
      <c r="AD279" s="50">
        <v>1270.95</v>
      </c>
      <c r="AE279" s="50">
        <v>24386.78</v>
      </c>
      <c r="AF279" s="16">
        <f t="shared" ref="AF279:AG279" si="1179">AD279/AD280-1</f>
        <v>-2.7619448376114075E-2</v>
      </c>
      <c r="AG279" s="16">
        <f t="shared" si="1179"/>
        <v>-1.2695361525095206E-2</v>
      </c>
      <c r="AH279" s="16"/>
      <c r="AI279" s="47">
        <v>45034</v>
      </c>
      <c r="AJ279" s="50">
        <v>1025.1500000000001</v>
      </c>
      <c r="AK279" s="50">
        <v>25828.46</v>
      </c>
      <c r="AL279" s="16">
        <f t="shared" ref="AL279:AM279" si="1180">AJ279/AJ280-1</f>
        <v>-4.4671036659382768E-3</v>
      </c>
      <c r="AM279" s="16">
        <f t="shared" si="1180"/>
        <v>6.7698884964126904E-3</v>
      </c>
      <c r="AN279" s="16"/>
      <c r="AO279" s="47">
        <v>45401</v>
      </c>
      <c r="AP279" s="50">
        <v>1193.75</v>
      </c>
      <c r="AQ279" s="50">
        <v>32602.42</v>
      </c>
      <c r="AR279" s="16">
        <f t="shared" ref="AR279:AS279" si="1181">AP279/AP280-1</f>
        <v>1.17811586218588E-2</v>
      </c>
      <c r="AS279" s="16">
        <f t="shared" si="1181"/>
        <v>6.872164521817492E-3</v>
      </c>
    </row>
    <row r="280" spans="1:45" ht="15">
      <c r="A280" s="47">
        <v>43949</v>
      </c>
      <c r="B280" s="48">
        <v>6.1400000000000003E-2</v>
      </c>
      <c r="C280" s="16"/>
      <c r="D280" s="47">
        <v>44305</v>
      </c>
      <c r="E280" s="48">
        <v>6.2700000000000006E-2</v>
      </c>
      <c r="F280" s="16"/>
      <c r="G280" s="47">
        <v>44670</v>
      </c>
      <c r="H280" s="48">
        <v>7.1599999999999997E-2</v>
      </c>
      <c r="I280" s="16"/>
      <c r="J280" s="47">
        <v>45041</v>
      </c>
      <c r="K280" s="48">
        <v>7.1400000000000005E-2</v>
      </c>
      <c r="L280" s="16"/>
      <c r="M280" s="47">
        <v>45398</v>
      </c>
      <c r="N280" s="48">
        <v>7.1900000000000006E-2</v>
      </c>
      <c r="O280" s="16"/>
      <c r="P280" s="16"/>
      <c r="Q280" s="54">
        <v>43944</v>
      </c>
      <c r="R280" s="49">
        <v>523.4</v>
      </c>
      <c r="S280" s="50">
        <v>13113.97</v>
      </c>
      <c r="T280" s="16">
        <f t="shared" ref="T280:U280" si="1182">R280/R281-1</f>
        <v>9.2556883918240018E-3</v>
      </c>
      <c r="U280" s="16">
        <f t="shared" si="1182"/>
        <v>1.3778889942817285E-2</v>
      </c>
      <c r="V280" s="16"/>
      <c r="W280" s="47">
        <v>44308</v>
      </c>
      <c r="X280" s="49">
        <v>968.25</v>
      </c>
      <c r="Y280" s="50">
        <v>20328.55</v>
      </c>
      <c r="Z280" s="16">
        <f t="shared" ref="Z280:AA280" si="1183">X280/X281-1</f>
        <v>-1.6106086779798856E-2</v>
      </c>
      <c r="AA280" s="16">
        <f t="shared" si="1183"/>
        <v>-4.388740219490872E-3</v>
      </c>
      <c r="AB280" s="16"/>
      <c r="AC280" s="47">
        <v>44673</v>
      </c>
      <c r="AD280" s="50">
        <v>1307.05</v>
      </c>
      <c r="AE280" s="50">
        <v>24700.36</v>
      </c>
      <c r="AF280" s="16">
        <f t="shared" ref="AF280:AG280" si="1184">AD280/AD281-1</f>
        <v>-4.9862971985383808E-3</v>
      </c>
      <c r="AG280" s="16">
        <f t="shared" si="1184"/>
        <v>-1.2685803228350445E-2</v>
      </c>
      <c r="AH280" s="16"/>
      <c r="AI280" s="47">
        <v>45033</v>
      </c>
      <c r="AJ280" s="50">
        <v>1029.75</v>
      </c>
      <c r="AK280" s="50">
        <v>25654.78</v>
      </c>
      <c r="AL280" s="16">
        <f t="shared" ref="AL280:AM280" si="1185">AJ280/AJ281-1</f>
        <v>-5.2493559072506413E-2</v>
      </c>
      <c r="AM280" s="16">
        <f t="shared" si="1185"/>
        <v>2.4167620378046095E-5</v>
      </c>
      <c r="AN280" s="16"/>
      <c r="AO280" s="47">
        <v>45400</v>
      </c>
      <c r="AP280" s="50">
        <v>1179.8499999999999</v>
      </c>
      <c r="AQ280" s="50">
        <v>32379.9</v>
      </c>
      <c r="AR280" s="16">
        <f t="shared" ref="AR280:AS280" si="1186">AP280/AP281-1</f>
        <v>-1.3503344481605395E-2</v>
      </c>
      <c r="AS280" s="16">
        <f t="shared" si="1186"/>
        <v>-6.8654700350327946E-3</v>
      </c>
    </row>
    <row r="281" spans="1:45" ht="15">
      <c r="A281" s="47">
        <v>43948</v>
      </c>
      <c r="B281" s="48">
        <v>6.1400000000000003E-2</v>
      </c>
      <c r="C281" s="16"/>
      <c r="D281" s="47">
        <v>44302</v>
      </c>
      <c r="E281" s="48">
        <v>6.2799999999999995E-2</v>
      </c>
      <c r="F281" s="16"/>
      <c r="G281" s="47">
        <v>44669</v>
      </c>
      <c r="H281" s="48">
        <v>7.1599999999999997E-2</v>
      </c>
      <c r="I281" s="16"/>
      <c r="J281" s="47">
        <v>45040</v>
      </c>
      <c r="K281" s="48">
        <v>7.1599999999999997E-2</v>
      </c>
      <c r="L281" s="16"/>
      <c r="M281" s="47">
        <v>45397</v>
      </c>
      <c r="N281" s="48">
        <v>7.17E-2</v>
      </c>
      <c r="O281" s="16"/>
      <c r="P281" s="16"/>
      <c r="Q281" s="54">
        <v>43943</v>
      </c>
      <c r="R281" s="49">
        <v>518.6</v>
      </c>
      <c r="S281" s="50">
        <v>12935.73</v>
      </c>
      <c r="T281" s="16">
        <f t="shared" ref="T281:U281" si="1187">R281/R282-1</f>
        <v>1.1310452418096917E-2</v>
      </c>
      <c r="U281" s="16">
        <f t="shared" si="1187"/>
        <v>2.2918081814594649E-2</v>
      </c>
      <c r="V281" s="16"/>
      <c r="W281" s="47">
        <v>44306</v>
      </c>
      <c r="X281" s="49">
        <v>984.1</v>
      </c>
      <c r="Y281" s="50">
        <v>20418.16</v>
      </c>
      <c r="Z281" s="16">
        <f t="shared" ref="Z281:AA281" si="1188">X281/X282-1</f>
        <v>-1.6686650679456405E-2</v>
      </c>
      <c r="AA281" s="16">
        <f t="shared" si="1188"/>
        <v>-1.7678095567077445E-2</v>
      </c>
      <c r="AB281" s="16"/>
      <c r="AC281" s="47">
        <v>44672</v>
      </c>
      <c r="AD281" s="50">
        <v>1313.6</v>
      </c>
      <c r="AE281" s="50">
        <v>25017.73</v>
      </c>
      <c r="AF281" s="16">
        <f t="shared" ref="AF281:AG281" si="1189">AD281/AD282-1</f>
        <v>2.977781171260574E-3</v>
      </c>
      <c r="AG281" s="16">
        <f t="shared" si="1189"/>
        <v>1.4983934048457437E-2</v>
      </c>
      <c r="AH281" s="16"/>
      <c r="AI281" s="47">
        <v>45029</v>
      </c>
      <c r="AJ281" s="50">
        <v>1086.8</v>
      </c>
      <c r="AK281" s="50">
        <v>25654.16</v>
      </c>
      <c r="AL281" s="16">
        <f t="shared" ref="AL281:AM281" si="1190">AJ281/AJ282-1</f>
        <v>-2.1033193712561515E-2</v>
      </c>
      <c r="AM281" s="16">
        <f t="shared" si="1190"/>
        <v>3.2519919425455512E-4</v>
      </c>
      <c r="AN281" s="16"/>
      <c r="AO281" s="47">
        <v>45398</v>
      </c>
      <c r="AP281" s="50">
        <v>1196</v>
      </c>
      <c r="AQ281" s="50">
        <v>32603.74</v>
      </c>
      <c r="AR281" s="16">
        <f t="shared" ref="AR281:AS281" si="1191">AP281/AP282-1</f>
        <v>-1.9028871391076119E-2</v>
      </c>
      <c r="AS281" s="16">
        <f t="shared" si="1191"/>
        <v>-5.5939598287744197E-3</v>
      </c>
    </row>
    <row r="282" spans="1:45" ht="15">
      <c r="A282" s="47">
        <v>43945</v>
      </c>
      <c r="B282" s="48">
        <v>6.1400000000000003E-2</v>
      </c>
      <c r="C282" s="16"/>
      <c r="D282" s="47">
        <v>44301</v>
      </c>
      <c r="E282" s="48">
        <v>6.3E-2</v>
      </c>
      <c r="F282" s="16"/>
      <c r="G282" s="47">
        <v>44665</v>
      </c>
      <c r="H282" s="48">
        <v>7.22E-2</v>
      </c>
      <c r="I282" s="16"/>
      <c r="J282" s="47">
        <v>45037</v>
      </c>
      <c r="K282" s="48">
        <v>7.1900000000000006E-2</v>
      </c>
      <c r="L282" s="16"/>
      <c r="M282" s="51">
        <v>45394</v>
      </c>
      <c r="N282" s="48">
        <v>7.1800000000000003E-2</v>
      </c>
      <c r="O282" s="16"/>
      <c r="P282" s="16"/>
      <c r="Q282" s="54">
        <v>43942</v>
      </c>
      <c r="R282" s="49">
        <v>512.79999999999995</v>
      </c>
      <c r="S282" s="50">
        <v>12645.91</v>
      </c>
      <c r="T282" s="16">
        <f t="shared" ref="T282:U282" si="1192">R282/R283-1</f>
        <v>-2.286585365853655E-2</v>
      </c>
      <c r="U282" s="16">
        <f t="shared" si="1192"/>
        <v>-3.0269963537093658E-2</v>
      </c>
      <c r="V282" s="16"/>
      <c r="W282" s="47">
        <v>44305</v>
      </c>
      <c r="X282" s="50">
        <v>1000.8</v>
      </c>
      <c r="Y282" s="50">
        <v>20785.61</v>
      </c>
      <c r="Z282" s="16">
        <f t="shared" ref="Z282:AA282" si="1193">X282/X283-1</f>
        <v>-9.6972095784683132E-3</v>
      </c>
      <c r="AA282" s="16">
        <f t="shared" si="1193"/>
        <v>2.4949502939151103E-3</v>
      </c>
      <c r="AB282" s="16"/>
      <c r="AC282" s="47">
        <v>44671</v>
      </c>
      <c r="AD282" s="50">
        <v>1309.7</v>
      </c>
      <c r="AE282" s="50">
        <v>24648.400000000001</v>
      </c>
      <c r="AF282" s="16">
        <f t="shared" ref="AF282:AG282" si="1194">AD282/AD283-1</f>
        <v>6.2231100184388932E-3</v>
      </c>
      <c r="AG282" s="16">
        <f t="shared" si="1194"/>
        <v>1.0489272539883077E-2</v>
      </c>
      <c r="AH282" s="16"/>
      <c r="AI282" s="51">
        <v>45028</v>
      </c>
      <c r="AJ282" s="50">
        <v>1110.1500000000001</v>
      </c>
      <c r="AK282" s="50">
        <v>25645.82</v>
      </c>
      <c r="AL282" s="16">
        <f t="shared" ref="AL282:AM282" si="1195">AJ282/AJ283-1</f>
        <v>1.0835419986342076E-2</v>
      </c>
      <c r="AM282" s="16">
        <f t="shared" si="1195"/>
        <v>-2.3445806032733607E-3</v>
      </c>
      <c r="AN282" s="16"/>
      <c r="AO282" s="47">
        <v>45397</v>
      </c>
      <c r="AP282" s="50">
        <v>1219.2</v>
      </c>
      <c r="AQ282" s="50">
        <v>32787.15</v>
      </c>
      <c r="AR282" s="16">
        <f t="shared" ref="AR282:AS282" si="1196">AP282/AP283-1</f>
        <v>-1.8555041255785887E-2</v>
      </c>
      <c r="AS282" s="16">
        <f t="shared" si="1196"/>
        <v>-1.0963304122188933E-2</v>
      </c>
    </row>
    <row r="283" spans="1:45" ht="15">
      <c r="A283" s="47">
        <v>43944</v>
      </c>
      <c r="B283" s="48">
        <v>6.0499999999999998E-2</v>
      </c>
      <c r="C283" s="16"/>
      <c r="D283" s="47">
        <v>44299</v>
      </c>
      <c r="E283" s="48">
        <v>6.2300000000000001E-2</v>
      </c>
      <c r="F283" s="16"/>
      <c r="G283" s="47">
        <v>44664</v>
      </c>
      <c r="H283" s="48">
        <v>7.2300000000000003E-2</v>
      </c>
      <c r="I283" s="16"/>
      <c r="J283" s="47">
        <v>45036</v>
      </c>
      <c r="K283" s="48">
        <v>7.22E-2</v>
      </c>
      <c r="L283" s="16"/>
      <c r="M283" s="51">
        <v>45392</v>
      </c>
      <c r="N283" s="48">
        <v>7.1300000000000002E-2</v>
      </c>
      <c r="O283" s="16"/>
      <c r="P283" s="16"/>
      <c r="Q283" s="54">
        <v>43941</v>
      </c>
      <c r="R283" s="49">
        <v>524.79999999999995</v>
      </c>
      <c r="S283" s="50">
        <v>13040.65</v>
      </c>
      <c r="T283" s="16">
        <f t="shared" ref="T283:U283" si="1197">R283/R284-1</f>
        <v>2.9827315541601118E-2</v>
      </c>
      <c r="U283" s="16">
        <f t="shared" si="1197"/>
        <v>-5.3036695721886407E-4</v>
      </c>
      <c r="V283" s="16"/>
      <c r="W283" s="47">
        <v>44302</v>
      </c>
      <c r="X283" s="50">
        <v>1010.6</v>
      </c>
      <c r="Y283" s="50">
        <v>20733.88</v>
      </c>
      <c r="Z283" s="16">
        <f t="shared" ref="Z283:AA283" si="1198">X283/X284-1</f>
        <v>1.6802495220847202E-2</v>
      </c>
      <c r="AA283" s="16">
        <f t="shared" si="1198"/>
        <v>5.2858540615547955E-3</v>
      </c>
      <c r="AB283" s="16"/>
      <c r="AC283" s="47">
        <v>44670</v>
      </c>
      <c r="AD283" s="50">
        <v>1301.5999999999999</v>
      </c>
      <c r="AE283" s="50">
        <v>24392.54</v>
      </c>
      <c r="AF283" s="16">
        <f t="shared" ref="AF283:AG283" si="1199">AD283/AD284-1</f>
        <v>-3.1727729217035594E-2</v>
      </c>
      <c r="AG283" s="16">
        <f t="shared" si="1199"/>
        <v>-1.2517736597609463E-2</v>
      </c>
      <c r="AH283" s="16"/>
      <c r="AI283" s="51">
        <v>45027</v>
      </c>
      <c r="AJ283" s="50">
        <v>1098.25</v>
      </c>
      <c r="AK283" s="50">
        <v>25706.09</v>
      </c>
      <c r="AL283" s="16">
        <f t="shared" ref="AL283:AM283" si="1200">AJ283/AJ284-1</f>
        <v>-8.3073727933541397E-3</v>
      </c>
      <c r="AM283" s="16">
        <f t="shared" si="1200"/>
        <v>-2.637534545378295E-3</v>
      </c>
      <c r="AN283" s="16"/>
      <c r="AO283" s="51">
        <v>45394</v>
      </c>
      <c r="AP283" s="50">
        <v>1242.25</v>
      </c>
      <c r="AQ283" s="50">
        <v>33150.589999999997</v>
      </c>
      <c r="AR283" s="16">
        <f t="shared" ref="AR283:AS283" si="1201">AP283/AP284-1</f>
        <v>-1.9108531722531574E-2</v>
      </c>
      <c r="AS283" s="16">
        <f t="shared" si="1201"/>
        <v>-1.0301636182608931E-2</v>
      </c>
    </row>
    <row r="284" spans="1:45" ht="15">
      <c r="A284" s="47">
        <v>43943</v>
      </c>
      <c r="B284" s="48">
        <v>6.2199999999999998E-2</v>
      </c>
      <c r="C284" s="16"/>
      <c r="D284" s="51">
        <v>44298</v>
      </c>
      <c r="E284" s="48">
        <v>6.2300000000000001E-2</v>
      </c>
      <c r="F284" s="16"/>
      <c r="G284" s="51">
        <v>44663</v>
      </c>
      <c r="H284" s="48">
        <v>7.1900000000000006E-2</v>
      </c>
      <c r="I284" s="16"/>
      <c r="J284" s="47">
        <v>45035</v>
      </c>
      <c r="K284" s="48">
        <v>7.2300000000000003E-2</v>
      </c>
      <c r="L284" s="16"/>
      <c r="M284" s="51">
        <v>45390</v>
      </c>
      <c r="N284" s="48">
        <v>7.1599999999999997E-2</v>
      </c>
      <c r="O284" s="16"/>
      <c r="P284" s="16"/>
      <c r="Q284" s="54">
        <v>43938</v>
      </c>
      <c r="R284" s="49">
        <v>509.6</v>
      </c>
      <c r="S284" s="50">
        <v>13047.57</v>
      </c>
      <c r="T284" s="16">
        <f t="shared" ref="T284:U284" si="1202">R284/R285-1</f>
        <v>-1.6026259895732697E-2</v>
      </c>
      <c r="U284" s="16">
        <f t="shared" si="1202"/>
        <v>3.0464790634529004E-2</v>
      </c>
      <c r="V284" s="16"/>
      <c r="W284" s="47">
        <v>44301</v>
      </c>
      <c r="X284" s="49">
        <v>993.9</v>
      </c>
      <c r="Y284" s="50">
        <v>20624.86</v>
      </c>
      <c r="Z284" s="16">
        <f t="shared" ref="Z284:AA284" si="1203">X284/X285-1</f>
        <v>-7.3903924897632534E-3</v>
      </c>
      <c r="AA284" s="16">
        <f t="shared" si="1203"/>
        <v>1.3556938206761071E-2</v>
      </c>
      <c r="AB284" s="16"/>
      <c r="AC284" s="47">
        <v>44669</v>
      </c>
      <c r="AD284" s="50">
        <v>1344.25</v>
      </c>
      <c r="AE284" s="50">
        <v>24701.75</v>
      </c>
      <c r="AF284" s="16">
        <f t="shared" ref="AF284:AG284" si="1204">AD284/AD285-1</f>
        <v>-4.6901588201928579E-2</v>
      </c>
      <c r="AG284" s="16">
        <f t="shared" si="1204"/>
        <v>-1.7281100949111949E-2</v>
      </c>
      <c r="AH284" s="16"/>
      <c r="AI284" s="51">
        <v>45026</v>
      </c>
      <c r="AJ284" s="50">
        <v>1107.45</v>
      </c>
      <c r="AK284" s="50">
        <v>25774.07</v>
      </c>
      <c r="AL284" s="16">
        <f t="shared" ref="AL284:AM284" si="1205">AJ284/AJ285-1</f>
        <v>1.3637819779415139E-2</v>
      </c>
      <c r="AM284" s="16">
        <f t="shared" si="1205"/>
        <v>-6.7945028957175913E-3</v>
      </c>
      <c r="AN284" s="16"/>
      <c r="AO284" s="51">
        <v>45392</v>
      </c>
      <c r="AP284" s="50">
        <v>1266.45</v>
      </c>
      <c r="AQ284" s="50">
        <v>33495.65</v>
      </c>
      <c r="AR284" s="16">
        <f t="shared" ref="AR284:AS284" si="1206">AP284/AP285-1</f>
        <v>1.2350119904076751E-2</v>
      </c>
      <c r="AS284" s="16">
        <f t="shared" si="1206"/>
        <v>4.9039682061093881E-3</v>
      </c>
    </row>
    <row r="285" spans="1:45" ht="15">
      <c r="A285" s="47">
        <v>43942</v>
      </c>
      <c r="B285" s="48">
        <v>6.2100000000000002E-2</v>
      </c>
      <c r="C285" s="16"/>
      <c r="D285" s="51">
        <v>44295</v>
      </c>
      <c r="E285" s="48">
        <v>6.2300000000000001E-2</v>
      </c>
      <c r="F285" s="16"/>
      <c r="G285" s="51">
        <v>44662</v>
      </c>
      <c r="H285" s="48">
        <v>7.1499999999999994E-2</v>
      </c>
      <c r="I285" s="16"/>
      <c r="J285" s="47">
        <v>45034</v>
      </c>
      <c r="K285" s="48">
        <v>7.2300000000000003E-2</v>
      </c>
      <c r="L285" s="16"/>
      <c r="M285" s="51">
        <v>45387</v>
      </c>
      <c r="N285" s="48">
        <v>7.1099999999999997E-2</v>
      </c>
      <c r="O285" s="16"/>
      <c r="P285" s="16"/>
      <c r="Q285" s="54">
        <v>43937</v>
      </c>
      <c r="R285" s="49">
        <v>517.9</v>
      </c>
      <c r="S285" s="50">
        <v>12661.83</v>
      </c>
      <c r="T285" s="16">
        <f t="shared" ref="T285:U285" si="1207">R285/R286-1</f>
        <v>-3.74500511104916E-2</v>
      </c>
      <c r="U285" s="16">
        <f t="shared" si="1207"/>
        <v>7.5579799233698175E-3</v>
      </c>
      <c r="V285" s="16"/>
      <c r="W285" s="47">
        <v>44299</v>
      </c>
      <c r="X285" s="50">
        <v>1001.3</v>
      </c>
      <c r="Y285" s="50">
        <v>20348.990000000002</v>
      </c>
      <c r="Z285" s="16">
        <f t="shared" ref="Z285:AA285" si="1208">X285/X286-1</f>
        <v>-3.5449378672574805E-2</v>
      </c>
      <c r="AA285" s="16">
        <f t="shared" si="1208"/>
        <v>-3.5326348465002266E-2</v>
      </c>
      <c r="AB285" s="16"/>
      <c r="AC285" s="47">
        <v>44664</v>
      </c>
      <c r="AD285" s="50">
        <v>1410.4</v>
      </c>
      <c r="AE285" s="50">
        <v>25136.13</v>
      </c>
      <c r="AF285" s="16">
        <f t="shared" ref="AF285:AG285" si="1209">AD285/AD286-1</f>
        <v>-3.9196299304353754E-3</v>
      </c>
      <c r="AG285" s="16">
        <f t="shared" si="1209"/>
        <v>-3.118411597016868E-3</v>
      </c>
      <c r="AH285" s="16"/>
      <c r="AI285" s="51">
        <v>45022</v>
      </c>
      <c r="AJ285" s="50">
        <v>1092.55</v>
      </c>
      <c r="AK285" s="50">
        <v>25950.39</v>
      </c>
      <c r="AL285" s="16">
        <f t="shared" ref="AL285:AM285" si="1210">AJ285/AJ286-1</f>
        <v>-9.8332427043684723E-3</v>
      </c>
      <c r="AM285" s="16">
        <f t="shared" si="1210"/>
        <v>9.8361073084585193E-4</v>
      </c>
      <c r="AN285" s="16"/>
      <c r="AO285" s="51">
        <v>45391</v>
      </c>
      <c r="AP285" s="50">
        <v>1251</v>
      </c>
      <c r="AQ285" s="50">
        <v>33332.19</v>
      </c>
      <c r="AR285" s="16">
        <f t="shared" ref="AR285:AS285" si="1211">AP285/AP286-1</f>
        <v>-1.1457921770051338E-2</v>
      </c>
      <c r="AS285" s="16">
        <f t="shared" si="1211"/>
        <v>-1.0393543056330667E-3</v>
      </c>
    </row>
    <row r="286" spans="1:45" ht="15">
      <c r="A286" s="47">
        <v>43941</v>
      </c>
      <c r="B286" s="48">
        <v>6.2199999999999998E-2</v>
      </c>
      <c r="C286" s="16"/>
      <c r="D286" s="51">
        <v>44294</v>
      </c>
      <c r="E286" s="48">
        <v>6.2100000000000002E-2</v>
      </c>
      <c r="F286" s="16"/>
      <c r="G286" s="51">
        <v>44659</v>
      </c>
      <c r="H286" s="48">
        <v>7.0699999999999999E-2</v>
      </c>
      <c r="I286" s="16"/>
      <c r="J286" s="47">
        <v>45033</v>
      </c>
      <c r="K286" s="48">
        <v>7.2400000000000006E-2</v>
      </c>
      <c r="L286" s="16"/>
      <c r="M286" s="51">
        <v>45386</v>
      </c>
      <c r="N286" s="48">
        <v>7.0900000000000005E-2</v>
      </c>
      <c r="O286" s="16"/>
      <c r="P286" s="16"/>
      <c r="Q286" s="54">
        <v>43936</v>
      </c>
      <c r="R286" s="49">
        <v>538.04999999999995</v>
      </c>
      <c r="S286" s="50">
        <v>12566.85</v>
      </c>
      <c r="T286" s="16">
        <f t="shared" ref="T286:U286" si="1212">R286/R287-1</f>
        <v>2.0677226595845477E-2</v>
      </c>
      <c r="U286" s="16">
        <f t="shared" si="1212"/>
        <v>-7.6172817375551594E-3</v>
      </c>
      <c r="V286" s="16"/>
      <c r="W286" s="51">
        <v>44298</v>
      </c>
      <c r="X286" s="50">
        <v>1038.0999999999999</v>
      </c>
      <c r="Y286" s="50">
        <v>21094.17</v>
      </c>
      <c r="Z286" s="16">
        <f t="shared" ref="Z286:AA286" si="1213">X286/X287-1</f>
        <v>-1.382225811048321E-2</v>
      </c>
      <c r="AA286" s="16">
        <f t="shared" si="1213"/>
        <v>-2.6203817662660001E-3</v>
      </c>
      <c r="AB286" s="16"/>
      <c r="AC286" s="51">
        <v>44663</v>
      </c>
      <c r="AD286" s="50">
        <v>1415.95</v>
      </c>
      <c r="AE286" s="50">
        <v>25214.76</v>
      </c>
      <c r="AF286" s="16">
        <f t="shared" ref="AF286:AG286" si="1214">AD286/AD287-1</f>
        <v>-2.2606474770483831E-2</v>
      </c>
      <c r="AG286" s="16">
        <f t="shared" si="1214"/>
        <v>-8.1835957551507077E-3</v>
      </c>
      <c r="AH286" s="16"/>
      <c r="AI286" s="51">
        <v>45021</v>
      </c>
      <c r="AJ286" s="50">
        <v>1103.4000000000001</v>
      </c>
      <c r="AK286" s="50">
        <v>25924.89</v>
      </c>
      <c r="AL286" s="16">
        <f t="shared" ref="AL286:AM286" si="1215">AJ286/AJ287-1</f>
        <v>2.7196083763958434E-4</v>
      </c>
      <c r="AM286" s="16">
        <f t="shared" si="1215"/>
        <v>5.0833980453419692E-3</v>
      </c>
      <c r="AN286" s="16"/>
      <c r="AO286" s="51">
        <v>45390</v>
      </c>
      <c r="AP286" s="50">
        <v>1265.5</v>
      </c>
      <c r="AQ286" s="50">
        <v>33366.870000000003</v>
      </c>
      <c r="AR286" s="16">
        <f t="shared" ref="AR286:AS286" si="1216">AP286/AP287-1</f>
        <v>1.7811201266573207E-3</v>
      </c>
      <c r="AS286" s="16">
        <f t="shared" si="1216"/>
        <v>6.7792743931527344E-3</v>
      </c>
    </row>
    <row r="287" spans="1:45" ht="15">
      <c r="A287" s="47">
        <v>43938</v>
      </c>
      <c r="B287" s="48">
        <v>6.3799999999999996E-2</v>
      </c>
      <c r="C287" s="16"/>
      <c r="D287" s="51">
        <v>44293</v>
      </c>
      <c r="E287" s="48">
        <v>6.2300000000000001E-2</v>
      </c>
      <c r="F287" s="16"/>
      <c r="G287" s="51">
        <v>44658</v>
      </c>
      <c r="H287" s="48">
        <v>6.9199999999999998E-2</v>
      </c>
      <c r="I287" s="16"/>
      <c r="J287" s="47">
        <v>45029</v>
      </c>
      <c r="K287" s="48">
        <v>7.22E-2</v>
      </c>
      <c r="L287" s="16"/>
      <c r="M287" s="51">
        <v>45385</v>
      </c>
      <c r="N287" s="48">
        <v>7.1099999999999997E-2</v>
      </c>
      <c r="O287" s="16"/>
      <c r="P287" s="16"/>
      <c r="Q287" s="54">
        <v>43934</v>
      </c>
      <c r="R287" s="49">
        <v>527.15</v>
      </c>
      <c r="S287" s="50">
        <v>12663.31</v>
      </c>
      <c r="T287" s="16">
        <f t="shared" ref="T287:U287" si="1217">R287/R288-1</f>
        <v>-3.3018435293038606E-2</v>
      </c>
      <c r="U287" s="16">
        <f t="shared" si="1217"/>
        <v>-1.295912489662554E-2</v>
      </c>
      <c r="V287" s="16"/>
      <c r="W287" s="51">
        <v>44295</v>
      </c>
      <c r="X287" s="50">
        <v>1052.6500000000001</v>
      </c>
      <c r="Y287" s="50">
        <v>21149.59</v>
      </c>
      <c r="Z287" s="16">
        <f t="shared" ref="Z287:AA287" si="1218">X287/X288-1</f>
        <v>2.3679859963045891E-2</v>
      </c>
      <c r="AA287" s="16">
        <f t="shared" si="1218"/>
        <v>3.8098049676023038E-3</v>
      </c>
      <c r="AB287" s="16"/>
      <c r="AC287" s="51">
        <v>44662</v>
      </c>
      <c r="AD287" s="50">
        <v>1448.7</v>
      </c>
      <c r="AE287" s="50">
        <v>25422.81</v>
      </c>
      <c r="AF287" s="16">
        <f t="shared" ref="AF287:AG287" si="1219">AD287/AD288-1</f>
        <v>-7.2426280393167453E-4</v>
      </c>
      <c r="AG287" s="16">
        <f t="shared" si="1219"/>
        <v>-6.1508630715613188E-3</v>
      </c>
      <c r="AH287" s="16"/>
      <c r="AI287" s="51">
        <v>45019</v>
      </c>
      <c r="AJ287" s="50">
        <v>1103.0999999999999</v>
      </c>
      <c r="AK287" s="50">
        <v>25793.77</v>
      </c>
      <c r="AL287" s="16">
        <f t="shared" ref="AL287:AM287" si="1220">AJ287/AJ288-1</f>
        <v>1.1344556881607293E-3</v>
      </c>
      <c r="AM287" s="16">
        <f t="shared" si="1220"/>
        <v>5.5764494811649801E-3</v>
      </c>
      <c r="AN287" s="16"/>
      <c r="AO287" s="51">
        <v>45387</v>
      </c>
      <c r="AP287" s="50">
        <v>1263.25</v>
      </c>
      <c r="AQ287" s="50">
        <v>33142.19</v>
      </c>
      <c r="AR287" s="16">
        <f t="shared" ref="AR287:AS287" si="1221">AP287/AP288-1</f>
        <v>-1.2043952606264452E-2</v>
      </c>
      <c r="AS287" s="16">
        <f t="shared" si="1221"/>
        <v>-4.2240445286556572E-5</v>
      </c>
    </row>
    <row r="288" spans="1:45" ht="15">
      <c r="A288" s="47">
        <v>43937</v>
      </c>
      <c r="B288" s="48">
        <v>6.4399999999999999E-2</v>
      </c>
      <c r="C288" s="16"/>
      <c r="D288" s="51">
        <v>44292</v>
      </c>
      <c r="E288" s="48">
        <v>6.2600000000000003E-2</v>
      </c>
      <c r="F288" s="16"/>
      <c r="G288" s="51">
        <v>44657</v>
      </c>
      <c r="H288" s="48">
        <v>6.9199999999999998E-2</v>
      </c>
      <c r="I288" s="16"/>
      <c r="J288" s="51">
        <v>45028</v>
      </c>
      <c r="K288" s="48">
        <v>7.22E-2</v>
      </c>
      <c r="L288" s="16"/>
      <c r="M288" s="51">
        <v>45384</v>
      </c>
      <c r="N288" s="48">
        <v>7.0900000000000005E-2</v>
      </c>
      <c r="O288" s="16"/>
      <c r="P288" s="16"/>
      <c r="Q288" s="51">
        <v>43930</v>
      </c>
      <c r="R288" s="49">
        <v>545.15</v>
      </c>
      <c r="S288" s="50">
        <v>12829.57</v>
      </c>
      <c r="T288" s="16">
        <f t="shared" ref="T288:U288" si="1222">R288/R289-1</f>
        <v>-2.5734965597354997E-2</v>
      </c>
      <c r="U288" s="16">
        <f t="shared" si="1222"/>
        <v>4.1509142938323196E-2</v>
      </c>
      <c r="V288" s="16"/>
      <c r="W288" s="51">
        <v>44294</v>
      </c>
      <c r="X288" s="50">
        <v>1028.3</v>
      </c>
      <c r="Y288" s="50">
        <v>21069.32</v>
      </c>
      <c r="Z288" s="16">
        <f t="shared" ref="Z288:AA288" si="1223">X288/X289-1</f>
        <v>2.5173221673894686E-2</v>
      </c>
      <c r="AA288" s="16">
        <f t="shared" si="1223"/>
        <v>9.2328385362154819E-3</v>
      </c>
      <c r="AB288" s="16"/>
      <c r="AC288" s="51">
        <v>44659</v>
      </c>
      <c r="AD288" s="50">
        <v>1449.75</v>
      </c>
      <c r="AE288" s="50">
        <v>25580.15</v>
      </c>
      <c r="AF288" s="16">
        <f t="shared" ref="AF288:AG288" si="1224">AD288/AD289-1</f>
        <v>-1.3070560604513504E-2</v>
      </c>
      <c r="AG288" s="16">
        <f t="shared" si="1224"/>
        <v>8.2086940344980874E-3</v>
      </c>
      <c r="AH288" s="16"/>
      <c r="AI288" s="47">
        <v>45016</v>
      </c>
      <c r="AJ288" s="50">
        <v>1101.8499999999999</v>
      </c>
      <c r="AK288" s="50">
        <v>25650.73</v>
      </c>
      <c r="AL288" s="16"/>
      <c r="AM288" s="16"/>
      <c r="AN288" s="16"/>
      <c r="AO288" s="51">
        <v>45386</v>
      </c>
      <c r="AP288" s="50">
        <v>1278.6500000000001</v>
      </c>
      <c r="AQ288" s="50">
        <v>33143.589999999997</v>
      </c>
      <c r="AR288" s="16">
        <f t="shared" ref="AR288:AS288" si="1225">AP288/AP289-1</f>
        <v>1.8033439490446002E-2</v>
      </c>
      <c r="AS288" s="16">
        <f t="shared" si="1225"/>
        <v>3.565997755695216E-3</v>
      </c>
    </row>
    <row r="289" spans="1:45" ht="15">
      <c r="A289" s="47">
        <v>43936</v>
      </c>
      <c r="B289" s="48">
        <v>6.4799999999999996E-2</v>
      </c>
      <c r="C289" s="16"/>
      <c r="D289" s="51">
        <v>44291</v>
      </c>
      <c r="E289" s="48">
        <v>6.2700000000000006E-2</v>
      </c>
      <c r="F289" s="16"/>
      <c r="G289" s="51">
        <v>44656</v>
      </c>
      <c r="H289" s="48">
        <v>6.9000000000000006E-2</v>
      </c>
      <c r="I289" s="16"/>
      <c r="J289" s="51">
        <v>45027</v>
      </c>
      <c r="K289" s="48">
        <v>7.2300000000000003E-2</v>
      </c>
      <c r="L289" s="16"/>
      <c r="M289" s="16"/>
      <c r="N289" s="16"/>
      <c r="O289" s="16"/>
      <c r="P289" s="16"/>
      <c r="Q289" s="51">
        <v>43929</v>
      </c>
      <c r="R289" s="49">
        <v>559.54999999999995</v>
      </c>
      <c r="S289" s="50">
        <v>12318.25</v>
      </c>
      <c r="T289" s="16">
        <f t="shared" ref="T289:U289" si="1226">R289/R290-1</f>
        <v>2.3879231473010076E-2</v>
      </c>
      <c r="U289" s="16">
        <f t="shared" si="1226"/>
        <v>-4.941265422774288E-3</v>
      </c>
      <c r="V289" s="16"/>
      <c r="W289" s="51">
        <v>44293</v>
      </c>
      <c r="X289" s="50">
        <v>1003.05</v>
      </c>
      <c r="Y289" s="50">
        <v>20876.57</v>
      </c>
      <c r="Z289" s="16">
        <f t="shared" ref="Z289:AA289" si="1227">X289/X290-1</f>
        <v>1.1649016641452237E-2</v>
      </c>
      <c r="AA289" s="16">
        <f t="shared" si="1227"/>
        <v>3.1213346780956108E-3</v>
      </c>
      <c r="AB289" s="16"/>
      <c r="AC289" s="51">
        <v>44658</v>
      </c>
      <c r="AD289" s="50">
        <v>1468.95</v>
      </c>
      <c r="AE289" s="50">
        <v>25371.88</v>
      </c>
      <c r="AF289" s="16">
        <f t="shared" ref="AF289:AG289" si="1228">AD289/AD290-1</f>
        <v>6.4748201438848962E-3</v>
      </c>
      <c r="AG289" s="16">
        <f t="shared" si="1228"/>
        <v>-9.4414280477134183E-3</v>
      </c>
      <c r="AH289" s="16"/>
      <c r="AI289" s="16"/>
      <c r="AJ289" s="16"/>
      <c r="AK289" s="50">
        <v>25614.55</v>
      </c>
      <c r="AL289" s="16"/>
      <c r="AM289" s="16"/>
      <c r="AN289" s="16"/>
      <c r="AO289" s="51">
        <v>45385</v>
      </c>
      <c r="AP289" s="50">
        <v>1256</v>
      </c>
      <c r="AQ289" s="50">
        <v>33025.82</v>
      </c>
      <c r="AR289" s="16">
        <f t="shared" ref="AR289:AS289" si="1229">AP289/AP290-1</f>
        <v>1.5647111147050419E-2</v>
      </c>
      <c r="AS289" s="16">
        <f t="shared" si="1229"/>
        <v>-8.322913304046331E-4</v>
      </c>
    </row>
    <row r="290" spans="1:45" ht="15">
      <c r="A290" s="47">
        <v>43935</v>
      </c>
      <c r="B290" s="48">
        <v>6.4899999999999999E-2</v>
      </c>
      <c r="C290" s="16"/>
      <c r="D290" s="51">
        <v>44287</v>
      </c>
      <c r="E290" s="48">
        <v>6.3299999999999995E-2</v>
      </c>
      <c r="F290" s="16"/>
      <c r="G290" s="51">
        <v>44655</v>
      </c>
      <c r="H290" s="48">
        <v>6.9000000000000006E-2</v>
      </c>
      <c r="I290" s="16"/>
      <c r="J290" s="51">
        <v>45026</v>
      </c>
      <c r="K290" s="48">
        <v>7.22E-2</v>
      </c>
      <c r="L290" s="16"/>
      <c r="M290" s="16"/>
      <c r="N290" s="16"/>
      <c r="O290" s="16"/>
      <c r="P290" s="16"/>
      <c r="Q290" s="51">
        <v>43928</v>
      </c>
      <c r="R290" s="49">
        <v>546.5</v>
      </c>
      <c r="S290" s="50">
        <v>12379.42</v>
      </c>
      <c r="T290" s="16">
        <f t="shared" ref="T290:U290" si="1230">R290/R291-1</f>
        <v>4.9649476615768906E-2</v>
      </c>
      <c r="U290" s="16">
        <f t="shared" si="1230"/>
        <v>8.7629436602641775E-2</v>
      </c>
      <c r="V290" s="16"/>
      <c r="W290" s="51">
        <v>44292</v>
      </c>
      <c r="X290" s="49">
        <v>991.5</v>
      </c>
      <c r="Y290" s="50">
        <v>20811.61</v>
      </c>
      <c r="Z290" s="16">
        <f t="shared" ref="Z290:AA290" si="1231">X290/X291-1</f>
        <v>-5.7658561042868151E-3</v>
      </c>
      <c r="AA290" s="16">
        <f t="shared" si="1231"/>
        <v>-1.5426472807577252E-2</v>
      </c>
      <c r="AB290" s="16"/>
      <c r="AC290" s="51">
        <v>44657</v>
      </c>
      <c r="AD290" s="50">
        <v>1459.5</v>
      </c>
      <c r="AE290" s="50">
        <v>25613.71</v>
      </c>
      <c r="AF290" s="16">
        <f t="shared" ref="AF290:AG290" si="1232">AD290/AD291-1</f>
        <v>-1.9746121297602337E-2</v>
      </c>
      <c r="AG290" s="16">
        <f t="shared" si="1232"/>
        <v>-8.3394278780802855E-3</v>
      </c>
      <c r="AH290" s="16"/>
      <c r="AI290" s="16"/>
      <c r="AJ290" s="16"/>
      <c r="AK290" s="50">
        <v>25553.279999999999</v>
      </c>
      <c r="AL290" s="16"/>
      <c r="AM290" s="16"/>
      <c r="AN290" s="16"/>
      <c r="AO290" s="51">
        <v>45384</v>
      </c>
      <c r="AP290" s="50">
        <v>1236.6500000000001</v>
      </c>
      <c r="AQ290" s="50">
        <v>33053.33</v>
      </c>
      <c r="AR290" s="16"/>
      <c r="AS290" s="16"/>
    </row>
    <row r="291" spans="1:45" ht="15">
      <c r="A291" s="47">
        <v>43934</v>
      </c>
      <c r="B291" s="48">
        <v>6.4899999999999999E-2</v>
      </c>
      <c r="C291" s="16"/>
      <c r="D291" s="16"/>
      <c r="E291" s="16"/>
      <c r="F291" s="16"/>
      <c r="G291" s="16"/>
      <c r="H291" s="16"/>
      <c r="I291" s="16"/>
      <c r="J291" s="51">
        <v>45022</v>
      </c>
      <c r="K291" s="48">
        <v>7.2300000000000003E-2</v>
      </c>
      <c r="L291" s="16"/>
      <c r="M291" s="16"/>
      <c r="N291" s="16"/>
      <c r="O291" s="16"/>
      <c r="P291" s="16"/>
      <c r="Q291" s="51">
        <v>43924</v>
      </c>
      <c r="R291" s="49">
        <v>520.65</v>
      </c>
      <c r="S291" s="50">
        <v>11382.02</v>
      </c>
      <c r="T291" s="16">
        <f t="shared" ref="T291:U291" si="1233">R291/R292-1</f>
        <v>1.848591549295775E-2</v>
      </c>
      <c r="U291" s="16">
        <f t="shared" si="1233"/>
        <v>-2.0593992952625984E-2</v>
      </c>
      <c r="V291" s="16"/>
      <c r="W291" s="51">
        <v>44291</v>
      </c>
      <c r="X291" s="49">
        <v>997.25</v>
      </c>
      <c r="Y291" s="50">
        <v>21137.69</v>
      </c>
      <c r="Z291" s="16">
        <f t="shared" ref="Z291:AA291" si="1234">X291/X292-1</f>
        <v>5.5457524577766648E-3</v>
      </c>
      <c r="AA291" s="16">
        <f t="shared" si="1234"/>
        <v>0.43884838707481588</v>
      </c>
      <c r="AB291" s="16"/>
      <c r="AC291" s="51">
        <v>44656</v>
      </c>
      <c r="AD291" s="50">
        <v>1488.9</v>
      </c>
      <c r="AE291" s="50">
        <v>25829.11</v>
      </c>
      <c r="AF291" s="16">
        <f t="shared" ref="AF291:AG291" si="1235">AD291/AD292-1</f>
        <v>-6.5058552697427885E-3</v>
      </c>
      <c r="AG291" s="16">
        <f t="shared" si="1235"/>
        <v>-5.2228562449354587E-3</v>
      </c>
      <c r="AH291" s="16"/>
      <c r="AI291" s="16"/>
      <c r="AJ291" s="16"/>
      <c r="AK291" s="50">
        <v>25321.85</v>
      </c>
      <c r="AL291" s="16"/>
      <c r="AM291" s="16"/>
      <c r="AN291" s="16"/>
      <c r="AO291" s="51">
        <v>45383</v>
      </c>
      <c r="AP291" s="50">
        <v>1244.8</v>
      </c>
      <c r="AQ291" s="50">
        <v>33066.129999999997</v>
      </c>
      <c r="AR291" s="16"/>
      <c r="AS291" s="16"/>
    </row>
    <row r="292" spans="1:45" ht="15">
      <c r="A292" s="51">
        <v>43931</v>
      </c>
      <c r="B292" s="48">
        <v>6.5000000000000002E-2</v>
      </c>
      <c r="C292" s="16"/>
      <c r="D292" s="16"/>
      <c r="E292" s="16"/>
      <c r="F292" s="16"/>
      <c r="G292" s="16"/>
      <c r="H292" s="16"/>
      <c r="I292" s="16"/>
      <c r="J292" s="51">
        <v>45021</v>
      </c>
      <c r="K292" s="48">
        <v>7.2900000000000006E-2</v>
      </c>
      <c r="L292" s="16"/>
      <c r="M292" s="16"/>
      <c r="N292" s="16"/>
      <c r="O292" s="16"/>
      <c r="P292" s="16"/>
      <c r="Q292" s="51">
        <v>43922</v>
      </c>
      <c r="R292" s="49">
        <v>511.2</v>
      </c>
      <c r="S292" s="50">
        <v>11621.35</v>
      </c>
      <c r="T292" s="16">
        <f t="shared" ref="T292:U292" si="1236">R292/R293-1</f>
        <v>-9.5141162934773038E-2</v>
      </c>
      <c r="U292" s="16">
        <f t="shared" si="1236"/>
        <v>0.35167340292518401</v>
      </c>
      <c r="V292" s="16"/>
      <c r="W292" s="51">
        <v>44287</v>
      </c>
      <c r="X292" s="49">
        <v>991.75</v>
      </c>
      <c r="Y292" s="50">
        <v>14690.7</v>
      </c>
      <c r="Z292" s="16"/>
      <c r="AA292" s="16"/>
      <c r="AB292" s="16"/>
      <c r="AC292" s="51">
        <v>44655</v>
      </c>
      <c r="AD292" s="50">
        <v>1498.65</v>
      </c>
      <c r="AE292" s="50">
        <v>25964.720000000001</v>
      </c>
      <c r="AF292" s="16">
        <f t="shared" ref="AF292:AG292" si="1237">AD292/AD293-1</f>
        <v>7.5974047803140099E-3</v>
      </c>
      <c r="AG292" s="16">
        <f t="shared" si="1237"/>
        <v>2.1672357769004114E-2</v>
      </c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</row>
    <row r="293" spans="1:45" ht="15">
      <c r="A293" s="51">
        <v>43930</v>
      </c>
      <c r="B293" s="48">
        <v>6.5000000000000002E-2</v>
      </c>
      <c r="C293" s="16"/>
      <c r="D293" s="16"/>
      <c r="E293" s="16"/>
      <c r="F293" s="16"/>
      <c r="G293" s="16"/>
      <c r="H293" s="16"/>
      <c r="I293" s="16"/>
      <c r="J293" s="51">
        <v>45019</v>
      </c>
      <c r="K293" s="48">
        <v>7.3300000000000004E-2</v>
      </c>
      <c r="L293" s="16"/>
      <c r="M293" s="16"/>
      <c r="N293" s="16"/>
      <c r="O293" s="16"/>
      <c r="P293" s="16"/>
      <c r="Q293" s="47">
        <v>43921</v>
      </c>
      <c r="R293" s="49">
        <v>564.95000000000005</v>
      </c>
      <c r="S293" s="50">
        <v>8597.75</v>
      </c>
      <c r="T293" s="16"/>
      <c r="U293" s="16"/>
      <c r="V293" s="16"/>
      <c r="W293" s="16"/>
      <c r="X293" s="16"/>
      <c r="Y293" s="16"/>
      <c r="Z293" s="16"/>
      <c r="AA293" s="16"/>
      <c r="AB293" s="16"/>
      <c r="AC293" s="51">
        <v>44652</v>
      </c>
      <c r="AD293" s="50">
        <v>1487.35</v>
      </c>
      <c r="AE293" s="50">
        <v>25413.94</v>
      </c>
      <c r="AF293" s="16">
        <f t="shared" ref="AF293:AG293" si="1238">AD293/AD294-1</f>
        <v>-7.9703861802175036E-3</v>
      </c>
      <c r="AG293" s="16">
        <f t="shared" si="1238"/>
        <v>0.45515624329005555</v>
      </c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</row>
    <row r="294" spans="1:45" ht="15">
      <c r="A294" s="51">
        <v>43929</v>
      </c>
      <c r="B294" s="48">
        <v>6.4500000000000002E-2</v>
      </c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47">
        <v>44651</v>
      </c>
      <c r="AD294" s="50">
        <v>1499.3</v>
      </c>
      <c r="AE294" s="50">
        <v>17464.75</v>
      </c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</row>
    <row r="295" spans="1:45" ht="15">
      <c r="A295" s="51">
        <v>43928</v>
      </c>
      <c r="B295" s="48">
        <v>6.4000000000000001E-2</v>
      </c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</row>
    <row r="296" spans="1:45" ht="15">
      <c r="A296" s="51">
        <v>43926</v>
      </c>
      <c r="B296" s="48">
        <v>6.3100000000000003E-2</v>
      </c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</row>
    <row r="297" spans="1:45" ht="15">
      <c r="A297" s="51">
        <v>43924</v>
      </c>
      <c r="B297" s="48">
        <v>6.3100000000000003E-2</v>
      </c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</row>
    <row r="298" spans="1:45" ht="15">
      <c r="A298" s="51">
        <v>43923</v>
      </c>
      <c r="B298" s="48">
        <v>6.13E-2</v>
      </c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</row>
    <row r="299" spans="1:45" ht="15">
      <c r="A299" s="51">
        <v>43922</v>
      </c>
      <c r="B299" s="48">
        <v>6.13E-2</v>
      </c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</row>
    <row r="300" spans="1:45" ht="12.7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</row>
    <row r="301" spans="1:45" ht="12.7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</row>
    <row r="302" spans="1:45" ht="12.7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</row>
    <row r="303" spans="1:45" ht="12.7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</row>
    <row r="304" spans="1:45" ht="12.7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</row>
    <row r="305" spans="1:45" ht="12.7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</row>
    <row r="306" spans="1:45" ht="12.7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</row>
    <row r="307" spans="1:45" ht="12.7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</row>
    <row r="308" spans="1:45" ht="12.7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</row>
    <row r="309" spans="1:45" ht="12.7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</row>
    <row r="310" spans="1:45" ht="12.7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</row>
    <row r="311" spans="1:45" ht="12.7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</row>
    <row r="312" spans="1:45" ht="12.7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</row>
    <row r="313" spans="1:45" ht="12.7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</row>
    <row r="314" spans="1:45" ht="12.7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</row>
    <row r="315" spans="1:45" ht="12.7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</row>
    <row r="316" spans="1:45" ht="12.7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</row>
    <row r="317" spans="1:45" ht="12.7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</row>
    <row r="318" spans="1:45" ht="12.7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</row>
    <row r="319" spans="1:45" ht="12.7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</row>
    <row r="320" spans="1:45" ht="12.7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</row>
    <row r="321" spans="1:45" ht="12.7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</row>
    <row r="322" spans="1:45" ht="12.7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</row>
    <row r="323" spans="1:45" ht="12.7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</row>
    <row r="324" spans="1:45" ht="12.7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</row>
    <row r="325" spans="1:45" ht="12.7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</row>
    <row r="326" spans="1:45" ht="12.7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</row>
    <row r="327" spans="1:45" ht="12.7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</row>
    <row r="328" spans="1:45" ht="12.7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</row>
    <row r="329" spans="1:45" ht="12.7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</row>
    <row r="330" spans="1:45" ht="12.7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</row>
    <row r="331" spans="1:45" ht="12.7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</row>
    <row r="332" spans="1:45" ht="12.7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</row>
    <row r="333" spans="1:45" ht="12.7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</row>
    <row r="334" spans="1:45" ht="12.7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</row>
    <row r="335" spans="1:45" ht="12.7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</row>
    <row r="336" spans="1:45" ht="12.7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</row>
    <row r="337" spans="1:45" ht="12.7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</row>
    <row r="338" spans="1:45" ht="12.7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</row>
    <row r="339" spans="1:45" ht="12.7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</row>
    <row r="340" spans="1:45" ht="12.7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</row>
    <row r="341" spans="1:45" ht="12.7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</row>
    <row r="342" spans="1:45" ht="12.7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</row>
    <row r="343" spans="1:45" ht="12.7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</row>
    <row r="344" spans="1:45" ht="12.7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</row>
    <row r="345" spans="1:45" ht="12.7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</row>
    <row r="346" spans="1:45" ht="12.7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</row>
    <row r="347" spans="1:45" ht="12.7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</row>
    <row r="348" spans="1:45" ht="12.7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</row>
    <row r="349" spans="1:45" ht="12.7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</row>
    <row r="350" spans="1:45" ht="12.7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</row>
    <row r="351" spans="1:45" ht="12.7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</row>
    <row r="352" spans="1:45" ht="12.7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</row>
    <row r="353" spans="1:45" ht="12.7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</row>
    <row r="354" spans="1:45" ht="12.7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</row>
    <row r="355" spans="1:45" ht="12.7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</row>
    <row r="356" spans="1:45" ht="12.7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</row>
    <row r="357" spans="1:45" ht="12.7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</row>
    <row r="358" spans="1:45" ht="12.7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</row>
    <row r="359" spans="1:45" ht="12.7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</row>
    <row r="360" spans="1:45" ht="12.7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</row>
    <row r="361" spans="1:45" ht="12.7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</row>
    <row r="362" spans="1:45" ht="12.7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</row>
    <row r="363" spans="1:45" ht="12.7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</row>
    <row r="364" spans="1:45" ht="12.7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</row>
    <row r="365" spans="1:45" ht="12.7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</row>
    <row r="366" spans="1:45" ht="12.7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</row>
    <row r="367" spans="1:45" ht="12.7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</row>
    <row r="368" spans="1:45" ht="12.7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</row>
    <row r="369" spans="1:45" ht="12.7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</row>
    <row r="370" spans="1:45" ht="12.7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</row>
    <row r="371" spans="1:45" ht="12.7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</row>
    <row r="372" spans="1:45" ht="12.7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</row>
    <row r="373" spans="1:45" ht="12.7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</row>
    <row r="374" spans="1:45" ht="12.7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</row>
    <row r="375" spans="1:45" ht="12.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</row>
    <row r="376" spans="1:45" ht="12.7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</row>
    <row r="377" spans="1:45" ht="12.7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</row>
    <row r="378" spans="1:45" ht="12.7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</row>
    <row r="379" spans="1:45" ht="12.7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</row>
    <row r="380" spans="1:45" ht="12.7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</row>
    <row r="381" spans="1:45" ht="12.7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</row>
    <row r="382" spans="1:45" ht="12.7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</row>
    <row r="383" spans="1:45" ht="12.7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</row>
    <row r="384" spans="1:45" ht="12.7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</row>
    <row r="385" spans="1:45" ht="12.7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</row>
    <row r="386" spans="1:45" ht="12.7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</row>
    <row r="387" spans="1:45" ht="12.7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</row>
    <row r="388" spans="1:45" ht="12.7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</row>
    <row r="389" spans="1:45" ht="12.7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</row>
    <row r="390" spans="1:45" ht="12.7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</row>
    <row r="391" spans="1:45" ht="12.7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</row>
    <row r="392" spans="1:45" ht="12.7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</row>
    <row r="393" spans="1:45" ht="12.7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</row>
    <row r="394" spans="1:45" ht="12.7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</row>
    <row r="395" spans="1:45" ht="12.7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</row>
    <row r="396" spans="1:45" ht="12.7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</row>
    <row r="397" spans="1:45" ht="12.7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</row>
    <row r="398" spans="1:45" ht="12.7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</row>
    <row r="399" spans="1:45" ht="12.7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</row>
    <row r="400" spans="1:45" ht="12.7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</row>
    <row r="401" spans="1:45" ht="12.7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</row>
    <row r="402" spans="1:45" ht="12.7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</row>
    <row r="403" spans="1:45" ht="12.7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</row>
    <row r="404" spans="1:45" ht="12.7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</row>
    <row r="405" spans="1:45" ht="12.7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</row>
    <row r="406" spans="1:45" ht="12.7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</row>
    <row r="407" spans="1:45" ht="12.7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</row>
    <row r="408" spans="1:45" ht="12.7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</row>
    <row r="409" spans="1:45" ht="12.7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</row>
    <row r="410" spans="1:45" ht="12.7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</row>
    <row r="411" spans="1:45" ht="12.7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</row>
    <row r="412" spans="1:45" ht="12.7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</row>
    <row r="413" spans="1:45" ht="12.7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</row>
    <row r="414" spans="1:45" ht="12.7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</row>
    <row r="415" spans="1:45" ht="12.7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</row>
    <row r="416" spans="1:45" ht="12.7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</row>
    <row r="417" spans="1:45" ht="12.7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</row>
    <row r="418" spans="1:45" ht="12.7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</row>
    <row r="419" spans="1:45" ht="12.7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</row>
    <row r="420" spans="1:45" ht="12.7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</row>
    <row r="421" spans="1:45" ht="12.7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</row>
    <row r="422" spans="1:45" ht="12.7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</row>
    <row r="423" spans="1:45" ht="12.7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</row>
    <row r="424" spans="1:45" ht="12.7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</row>
    <row r="425" spans="1:45" ht="12.7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</row>
    <row r="426" spans="1:45" ht="12.7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</row>
    <row r="427" spans="1:45" ht="12.7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</row>
    <row r="428" spans="1:45" ht="12.7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</row>
    <row r="429" spans="1:45" ht="12.7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</row>
    <row r="430" spans="1:45" ht="12.7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</row>
    <row r="431" spans="1:45" ht="12.7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</row>
    <row r="432" spans="1:45" ht="12.7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</row>
    <row r="433" spans="1:45" ht="12.7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</row>
    <row r="434" spans="1:45" ht="12.7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</row>
    <row r="435" spans="1:45" ht="12.7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</row>
    <row r="436" spans="1:45" ht="12.7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</row>
    <row r="437" spans="1:45" ht="12.7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</row>
    <row r="438" spans="1:45" ht="12.7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</row>
    <row r="439" spans="1:45" ht="12.7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</row>
    <row r="440" spans="1:45" ht="12.7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</row>
    <row r="441" spans="1:45" ht="12.7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</row>
    <row r="442" spans="1:45" ht="12.7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</row>
    <row r="443" spans="1:45" ht="12.7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</row>
    <row r="444" spans="1:45" ht="12.7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</row>
    <row r="445" spans="1:45" ht="12.7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</row>
    <row r="446" spans="1:45" ht="12.7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</row>
    <row r="447" spans="1:45" ht="12.7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</row>
    <row r="448" spans="1:45" ht="12.7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</row>
    <row r="449" spans="1:45" ht="12.7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</row>
    <row r="450" spans="1:45" ht="12.7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</row>
    <row r="451" spans="1:45" ht="12.7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</row>
    <row r="452" spans="1:45" ht="12.7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</row>
    <row r="453" spans="1:45" ht="12.7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</row>
    <row r="454" spans="1:45" ht="12.7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</row>
    <row r="455" spans="1:45" ht="12.7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</row>
    <row r="456" spans="1:45" ht="12.7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</row>
    <row r="457" spans="1:45" ht="12.7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</row>
    <row r="458" spans="1:45" ht="12.7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</row>
    <row r="459" spans="1:45" ht="12.7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</row>
    <row r="460" spans="1:45" ht="12.7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</row>
    <row r="461" spans="1:45" ht="12.7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</row>
    <row r="462" spans="1:45" ht="12.7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</row>
    <row r="463" spans="1:45" ht="12.7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</row>
    <row r="464" spans="1:45" ht="12.7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</row>
    <row r="465" spans="1:45" ht="12.7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</row>
    <row r="466" spans="1:45" ht="12.7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</row>
    <row r="467" spans="1:45" ht="12.7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</row>
    <row r="468" spans="1:45" ht="12.7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</row>
    <row r="469" spans="1:45" ht="12.7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</row>
    <row r="470" spans="1:45" ht="12.7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</row>
    <row r="471" spans="1:45" ht="12.7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</row>
    <row r="472" spans="1:45" ht="12.7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</row>
    <row r="473" spans="1:45" ht="12.7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</row>
    <row r="474" spans="1:45" ht="12.7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</row>
    <row r="475" spans="1:45" ht="12.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</row>
    <row r="476" spans="1:45" ht="12.7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</row>
    <row r="477" spans="1:45" ht="12.7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</row>
    <row r="478" spans="1:45" ht="12.7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</row>
    <row r="479" spans="1:45" ht="12.7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</row>
    <row r="480" spans="1:45" ht="12.7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</row>
    <row r="481" spans="1:45" ht="12.7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</row>
    <row r="482" spans="1:45" ht="12.7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</row>
    <row r="483" spans="1:45" ht="12.7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</row>
    <row r="484" spans="1:45" ht="12.7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</row>
    <row r="485" spans="1:45" ht="12.7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</row>
    <row r="486" spans="1:45" ht="12.7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</row>
    <row r="487" spans="1:45" ht="12.7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</row>
    <row r="488" spans="1:45" ht="12.7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</row>
    <row r="489" spans="1:45" ht="12.7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</row>
    <row r="490" spans="1:45" ht="12.7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</row>
    <row r="491" spans="1:45" ht="12.7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</row>
    <row r="492" spans="1:45" ht="12.7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</row>
    <row r="493" spans="1:45" ht="12.7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</row>
    <row r="494" spans="1:45" ht="12.7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</row>
    <row r="495" spans="1:45" ht="12.7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</row>
    <row r="496" spans="1:45" ht="12.7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</row>
    <row r="497" spans="1:45" ht="12.7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</row>
    <row r="498" spans="1:45" ht="12.7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</row>
    <row r="499" spans="1:45" ht="12.7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</row>
    <row r="500" spans="1:45" ht="12.7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</row>
    <row r="501" spans="1:45" ht="12.7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</row>
    <row r="502" spans="1:45" ht="12.7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</row>
    <row r="503" spans="1:45" ht="12.7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</row>
    <row r="504" spans="1:45" ht="12.7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</row>
    <row r="505" spans="1:45" ht="12.7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</row>
    <row r="506" spans="1:45" ht="12.7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</row>
    <row r="507" spans="1:45" ht="12.7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</row>
    <row r="508" spans="1:45" ht="12.7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</row>
    <row r="509" spans="1:45" ht="12.7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</row>
    <row r="510" spans="1:45" ht="12.7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</row>
    <row r="511" spans="1:45" ht="12.7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</row>
    <row r="512" spans="1:45" ht="12.7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</row>
    <row r="513" spans="1:45" ht="12.7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</row>
    <row r="514" spans="1:45" ht="12.7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</row>
    <row r="515" spans="1:45" ht="12.7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</row>
    <row r="516" spans="1:45" ht="12.7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</row>
    <row r="517" spans="1:45" ht="12.7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</row>
    <row r="518" spans="1:45" ht="12.7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</row>
    <row r="519" spans="1:45" ht="12.7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</row>
    <row r="520" spans="1:45" ht="12.7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</row>
    <row r="521" spans="1:45" ht="12.7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</row>
    <row r="522" spans="1:45" ht="12.7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</row>
    <row r="523" spans="1:45" ht="12.7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</row>
    <row r="524" spans="1:45" ht="12.7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</row>
    <row r="525" spans="1:45" ht="12.7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</row>
    <row r="526" spans="1:45" ht="12.7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</row>
    <row r="527" spans="1:45" ht="12.7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</row>
    <row r="528" spans="1:45" ht="12.7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</row>
    <row r="529" spans="1:45" ht="12.7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</row>
    <row r="530" spans="1:45" ht="12.7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</row>
    <row r="531" spans="1:45" ht="12.7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</row>
    <row r="532" spans="1:45" ht="12.7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</row>
    <row r="533" spans="1:45" ht="12.7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</row>
    <row r="534" spans="1:45" ht="12.7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</row>
    <row r="535" spans="1:45" ht="12.7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</row>
    <row r="536" spans="1:45" ht="12.7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</row>
    <row r="537" spans="1:45" ht="12.7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</row>
    <row r="538" spans="1:45" ht="12.7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</row>
    <row r="539" spans="1:45" ht="12.7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</row>
    <row r="540" spans="1:45" ht="12.7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</row>
    <row r="541" spans="1:45" ht="12.7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</row>
    <row r="542" spans="1:45" ht="12.7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</row>
    <row r="543" spans="1:45" ht="12.7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</row>
    <row r="544" spans="1:45" ht="12.7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</row>
    <row r="545" spans="1:45" ht="12.7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</row>
    <row r="546" spans="1:45" ht="12.7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</row>
    <row r="547" spans="1:45" ht="12.7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</row>
    <row r="548" spans="1:45" ht="12.7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</row>
    <row r="549" spans="1:45" ht="12.7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</row>
    <row r="550" spans="1:45" ht="12.7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</row>
    <row r="551" spans="1:45" ht="12.7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</row>
    <row r="552" spans="1:45" ht="12.7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</row>
    <row r="553" spans="1:45" ht="12.7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</row>
    <row r="554" spans="1:45" ht="12.7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</row>
    <row r="555" spans="1:45" ht="12.7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</row>
    <row r="556" spans="1:45" ht="12.7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</row>
    <row r="557" spans="1:45" ht="12.7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</row>
    <row r="558" spans="1:45" ht="12.7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</row>
    <row r="559" spans="1:45" ht="12.7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</row>
    <row r="560" spans="1:45" ht="12.7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</row>
    <row r="561" spans="1:45" ht="12.7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</row>
    <row r="562" spans="1:45" ht="12.7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</row>
    <row r="563" spans="1:45" ht="12.7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</row>
    <row r="564" spans="1:45" ht="12.7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</row>
    <row r="565" spans="1:45" ht="12.7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</row>
    <row r="566" spans="1:45" ht="12.7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</row>
    <row r="567" spans="1:45" ht="12.7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</row>
    <row r="568" spans="1:45" ht="12.7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</row>
    <row r="569" spans="1:45" ht="12.7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</row>
    <row r="570" spans="1:45" ht="12.7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</row>
    <row r="571" spans="1:45" ht="12.7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</row>
    <row r="572" spans="1:45" ht="12.7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</row>
    <row r="573" spans="1:45" ht="12.7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</row>
    <row r="574" spans="1:45" ht="12.7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</row>
    <row r="575" spans="1:45" ht="12.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</row>
    <row r="576" spans="1:45" ht="12.7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</row>
    <row r="577" spans="1:45" ht="12.7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</row>
    <row r="578" spans="1:45" ht="12.7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</row>
    <row r="579" spans="1:45" ht="12.7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</row>
    <row r="580" spans="1:45" ht="12.7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</row>
    <row r="581" spans="1:45" ht="12.7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</row>
    <row r="582" spans="1:45" ht="12.7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</row>
    <row r="583" spans="1:45" ht="12.7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</row>
    <row r="584" spans="1:45" ht="12.7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</row>
    <row r="585" spans="1:45" ht="12.7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</row>
    <row r="586" spans="1:45" ht="12.7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</row>
    <row r="587" spans="1:45" ht="12.7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</row>
    <row r="588" spans="1:45" ht="12.7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</row>
    <row r="589" spans="1:45" ht="12.7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</row>
    <row r="590" spans="1:45" ht="12.7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</row>
    <row r="591" spans="1:45" ht="12.7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</row>
    <row r="592" spans="1:45" ht="12.7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</row>
    <row r="593" spans="1:45" ht="12.7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</row>
    <row r="594" spans="1:45" ht="12.7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</row>
    <row r="595" spans="1:45" ht="12.7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</row>
    <row r="596" spans="1:45" ht="12.7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</row>
    <row r="597" spans="1:45" ht="12.7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</row>
    <row r="598" spans="1:45" ht="12.7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</row>
    <row r="599" spans="1:45" ht="12.7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</row>
    <row r="600" spans="1:45" ht="12.7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</row>
    <row r="601" spans="1:45" ht="12.7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</row>
    <row r="602" spans="1:45" ht="12.7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</row>
    <row r="603" spans="1:45" ht="12.7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</row>
    <row r="604" spans="1:45" ht="12.7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</row>
    <row r="605" spans="1:45" ht="12.7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</row>
    <row r="606" spans="1:45" ht="12.7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</row>
    <row r="607" spans="1:45" ht="12.7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</row>
    <row r="608" spans="1:45" ht="12.7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</row>
    <row r="609" spans="1:45" ht="12.7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</row>
    <row r="610" spans="1:45" ht="12.7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</row>
    <row r="611" spans="1:45" ht="12.7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</row>
    <row r="612" spans="1:45" ht="12.7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</row>
    <row r="613" spans="1:45" ht="12.7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</row>
    <row r="614" spans="1:45" ht="12.7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</row>
    <row r="615" spans="1:45" ht="12.7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</row>
    <row r="616" spans="1:45" ht="12.7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</row>
    <row r="617" spans="1:45" ht="12.7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</row>
    <row r="618" spans="1:45" ht="12.7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</row>
    <row r="619" spans="1:45" ht="12.7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</row>
    <row r="620" spans="1:45" ht="12.7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</row>
    <row r="621" spans="1:45" ht="12.7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</row>
    <row r="622" spans="1:45" ht="12.7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</row>
    <row r="623" spans="1:45" ht="12.7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</row>
    <row r="624" spans="1:45" ht="12.7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</row>
    <row r="625" spans="1:45" ht="12.7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</row>
    <row r="626" spans="1:45" ht="12.7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</row>
    <row r="627" spans="1:45" ht="12.7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</row>
    <row r="628" spans="1:45" ht="12.7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</row>
    <row r="629" spans="1:45" ht="12.7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</row>
    <row r="630" spans="1:45" ht="12.7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</row>
    <row r="631" spans="1:45" ht="12.7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</row>
    <row r="632" spans="1:45" ht="12.7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</row>
    <row r="633" spans="1:45" ht="12.7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</row>
    <row r="634" spans="1:45" ht="12.7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</row>
    <row r="635" spans="1:45" ht="12.7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</row>
    <row r="636" spans="1:45" ht="12.7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</row>
    <row r="637" spans="1:45" ht="12.7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</row>
    <row r="638" spans="1:45" ht="12.7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</row>
    <row r="639" spans="1:45" ht="12.7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</row>
    <row r="640" spans="1:45" ht="12.7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</row>
    <row r="641" spans="1:45" ht="12.7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</row>
    <row r="642" spans="1:45" ht="12.7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</row>
    <row r="643" spans="1:45" ht="12.7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</row>
    <row r="644" spans="1:45" ht="12.7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</row>
    <row r="645" spans="1:45" ht="12.7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</row>
    <row r="646" spans="1:45" ht="12.7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</row>
    <row r="647" spans="1:45" ht="12.7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</row>
    <row r="648" spans="1:45" ht="12.7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</row>
    <row r="649" spans="1:45" ht="12.7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</row>
    <row r="650" spans="1:45" ht="12.7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</row>
    <row r="651" spans="1:45" ht="12.7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</row>
    <row r="652" spans="1:45" ht="12.7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</row>
    <row r="653" spans="1:45" ht="12.7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</row>
    <row r="654" spans="1:45" ht="12.7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</row>
    <row r="655" spans="1:45" ht="12.7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</row>
    <row r="656" spans="1:45" ht="12.7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</row>
    <row r="657" spans="1:45" ht="12.7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</row>
    <row r="658" spans="1:45" ht="12.7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</row>
    <row r="659" spans="1:45" ht="12.7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</row>
    <row r="660" spans="1:45" ht="12.7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</row>
    <row r="661" spans="1:45" ht="12.7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</row>
    <row r="662" spans="1:45" ht="12.7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</row>
    <row r="663" spans="1:45" ht="12.7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</row>
    <row r="664" spans="1:45" ht="12.7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</row>
    <row r="665" spans="1:45" ht="12.7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</row>
    <row r="666" spans="1:45" ht="12.7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</row>
    <row r="667" spans="1:45" ht="12.7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</row>
    <row r="668" spans="1:45" ht="12.7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</row>
    <row r="669" spans="1:45" ht="12.7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</row>
    <row r="670" spans="1:45" ht="12.7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</row>
    <row r="671" spans="1:45" ht="12.7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</row>
    <row r="672" spans="1:45" ht="12.7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</row>
    <row r="673" spans="1:45" ht="12.7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</row>
    <row r="674" spans="1:45" ht="12.7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</row>
    <row r="675" spans="1:45" ht="12.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</row>
    <row r="676" spans="1:45" ht="12.7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</row>
    <row r="677" spans="1:45" ht="12.7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</row>
    <row r="678" spans="1:45" ht="12.7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</row>
    <row r="679" spans="1:45" ht="12.7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</row>
    <row r="680" spans="1:45" ht="12.7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</row>
    <row r="681" spans="1:45" ht="12.7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</row>
    <row r="682" spans="1:45" ht="12.7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</row>
    <row r="683" spans="1:45" ht="12.7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</row>
    <row r="684" spans="1:45" ht="12.7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</row>
    <row r="685" spans="1:45" ht="12.7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</row>
    <row r="686" spans="1:45" ht="12.7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</row>
    <row r="687" spans="1:45" ht="12.7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</row>
    <row r="688" spans="1:45" ht="12.7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</row>
    <row r="689" spans="1:45" ht="12.7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</row>
    <row r="690" spans="1:45" ht="12.7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</row>
    <row r="691" spans="1:45" ht="12.7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</row>
    <row r="692" spans="1:45" ht="12.7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</row>
    <row r="693" spans="1:45" ht="12.7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</row>
    <row r="694" spans="1:45" ht="12.7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</row>
    <row r="695" spans="1:45" ht="12.7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</row>
    <row r="696" spans="1:45" ht="12.7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</row>
    <row r="697" spans="1:45" ht="12.7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</row>
    <row r="698" spans="1:45" ht="12.7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</row>
    <row r="699" spans="1:45" ht="12.7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</row>
    <row r="700" spans="1:45" ht="12.7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</row>
    <row r="701" spans="1:45" ht="12.7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</row>
    <row r="702" spans="1:45" ht="12.7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</row>
    <row r="703" spans="1:45" ht="12.7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</row>
    <row r="704" spans="1:45" ht="12.7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</row>
    <row r="705" spans="1:45" ht="12.7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</row>
    <row r="706" spans="1:45" ht="12.7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</row>
    <row r="707" spans="1:45" ht="12.7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</row>
    <row r="708" spans="1:45" ht="12.7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</row>
    <row r="709" spans="1:45" ht="12.7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</row>
    <row r="710" spans="1:45" ht="12.7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</row>
    <row r="711" spans="1:45" ht="12.7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</row>
    <row r="712" spans="1:45" ht="12.7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</row>
    <row r="713" spans="1:45" ht="12.7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</row>
    <row r="714" spans="1:45" ht="12.7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</row>
    <row r="715" spans="1:45" ht="12.7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</row>
    <row r="716" spans="1:45" ht="12.7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</row>
    <row r="717" spans="1:45" ht="12.7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</row>
    <row r="718" spans="1:45" ht="12.7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</row>
    <row r="719" spans="1:45" ht="12.7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</row>
    <row r="720" spans="1:45" ht="12.7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</row>
    <row r="721" spans="1:45" ht="12.7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</row>
    <row r="722" spans="1:45" ht="12.7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</row>
    <row r="723" spans="1:45" ht="12.7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</row>
    <row r="724" spans="1:45" ht="12.7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</row>
    <row r="725" spans="1:45" ht="12.7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</row>
    <row r="726" spans="1:45" ht="12.7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</row>
    <row r="727" spans="1:45" ht="12.7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</row>
    <row r="728" spans="1:45" ht="12.7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</row>
    <row r="729" spans="1:45" ht="12.7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</row>
    <row r="730" spans="1:45" ht="12.7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</row>
    <row r="731" spans="1:45" ht="12.7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</row>
    <row r="732" spans="1:45" ht="12.7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</row>
    <row r="733" spans="1:45" ht="12.7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</row>
    <row r="734" spans="1:45" ht="12.7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</row>
    <row r="735" spans="1:45" ht="12.7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</row>
    <row r="736" spans="1:45" ht="12.7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</row>
    <row r="737" spans="1:45" ht="12.7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</row>
    <row r="738" spans="1:45" ht="12.7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</row>
    <row r="739" spans="1:45" ht="12.7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</row>
    <row r="740" spans="1:45" ht="12.7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</row>
    <row r="741" spans="1:45" ht="12.7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</row>
    <row r="742" spans="1:45" ht="12.7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</row>
    <row r="743" spans="1:45" ht="12.7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</row>
    <row r="744" spans="1:45" ht="12.7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</row>
    <row r="745" spans="1:45" ht="12.7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</row>
    <row r="746" spans="1:45" ht="12.7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</row>
    <row r="747" spans="1:45" ht="12.7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</row>
    <row r="748" spans="1:45" ht="12.7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</row>
    <row r="749" spans="1:45" ht="12.7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</row>
    <row r="750" spans="1:45" ht="12.7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</row>
    <row r="751" spans="1:45" ht="12.7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</row>
    <row r="752" spans="1:45" ht="12.7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</row>
    <row r="753" spans="1:45" ht="12.7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</row>
    <row r="754" spans="1:45" ht="12.7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</row>
    <row r="755" spans="1:45" ht="12.7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</row>
    <row r="756" spans="1:45" ht="12.7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</row>
    <row r="757" spans="1:45" ht="12.7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</row>
    <row r="758" spans="1:45" ht="12.7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</row>
    <row r="759" spans="1:45" ht="12.7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</row>
    <row r="760" spans="1:45" ht="12.7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</row>
    <row r="761" spans="1:45" ht="12.7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</row>
    <row r="762" spans="1:45" ht="12.7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</row>
    <row r="763" spans="1:45" ht="12.7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</row>
    <row r="764" spans="1:45" ht="12.7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</row>
    <row r="765" spans="1:45" ht="12.7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</row>
    <row r="766" spans="1:45" ht="12.7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</row>
    <row r="767" spans="1:45" ht="12.7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</row>
    <row r="768" spans="1:45" ht="12.7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</row>
    <row r="769" spans="1:45" ht="12.7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</row>
    <row r="770" spans="1:45" ht="12.7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</row>
    <row r="771" spans="1:45" ht="12.7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</row>
    <row r="772" spans="1:45" ht="12.7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</row>
    <row r="773" spans="1:45" ht="12.7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</row>
    <row r="774" spans="1:45" ht="12.7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</row>
    <row r="775" spans="1:45" ht="12.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</row>
    <row r="776" spans="1:45" ht="12.7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</row>
    <row r="777" spans="1:45" ht="12.7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</row>
    <row r="778" spans="1:45" ht="12.7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</row>
    <row r="779" spans="1:45" ht="12.7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</row>
    <row r="780" spans="1:45" ht="12.7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</row>
    <row r="781" spans="1:45" ht="12.7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</row>
    <row r="782" spans="1:45" ht="12.7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</row>
    <row r="783" spans="1:45" ht="12.7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</row>
    <row r="784" spans="1:45" ht="12.7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</row>
    <row r="785" spans="1:45" ht="12.7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</row>
    <row r="786" spans="1:45" ht="12.7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</row>
    <row r="787" spans="1:45" ht="12.7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</row>
    <row r="788" spans="1:45" ht="12.7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</row>
    <row r="789" spans="1:45" ht="12.7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</row>
    <row r="790" spans="1:45" ht="12.7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</row>
    <row r="791" spans="1:45" ht="12.7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</row>
    <row r="792" spans="1:45" ht="12.7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</row>
    <row r="793" spans="1:45" ht="12.7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</row>
    <row r="794" spans="1:45" ht="12.7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</row>
    <row r="795" spans="1:45" ht="12.7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</row>
    <row r="796" spans="1:45" ht="12.7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</row>
    <row r="797" spans="1:45" ht="12.7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</row>
    <row r="798" spans="1:45" ht="12.7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</row>
    <row r="799" spans="1:45" ht="12.7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</row>
    <row r="800" spans="1:45" ht="12.7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</row>
    <row r="801" spans="1:45" ht="12.7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</row>
    <row r="802" spans="1:45" ht="12.7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</row>
    <row r="803" spans="1:45" ht="12.7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</row>
    <row r="804" spans="1:45" ht="12.7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</row>
    <row r="805" spans="1:45" ht="12.7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</row>
    <row r="806" spans="1:45" ht="12.7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</row>
    <row r="807" spans="1:45" ht="12.7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</row>
    <row r="808" spans="1:45" ht="12.7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</row>
    <row r="809" spans="1:45" ht="12.7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</row>
    <row r="810" spans="1:45" ht="12.7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</row>
    <row r="811" spans="1:45" ht="12.7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</row>
    <row r="812" spans="1:45" ht="12.7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</row>
    <row r="813" spans="1:45" ht="12.7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</row>
    <row r="814" spans="1:45" ht="12.7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</row>
    <row r="815" spans="1:45" ht="12.7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</row>
    <row r="816" spans="1:45" ht="12.7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</row>
    <row r="817" spans="1:45" ht="12.7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</row>
    <row r="818" spans="1:45" ht="12.7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</row>
    <row r="819" spans="1:45" ht="12.7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</row>
    <row r="820" spans="1:45" ht="12.7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</row>
    <row r="821" spans="1:45" ht="12.7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</row>
    <row r="822" spans="1:45" ht="12.7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</row>
    <row r="823" spans="1:45" ht="12.7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</row>
    <row r="824" spans="1:45" ht="12.7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</row>
    <row r="825" spans="1:45" ht="12.7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</row>
    <row r="826" spans="1:45" ht="12.7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</row>
    <row r="827" spans="1:45" ht="12.7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</row>
    <row r="828" spans="1:45" ht="12.7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</row>
    <row r="829" spans="1:45" ht="12.7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</row>
    <row r="830" spans="1:45" ht="12.7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</row>
    <row r="831" spans="1:45" ht="12.7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</row>
    <row r="832" spans="1:45" ht="12.7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</row>
    <row r="833" spans="1:45" ht="12.7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</row>
    <row r="834" spans="1:45" ht="12.7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</row>
    <row r="835" spans="1:45" ht="12.7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</row>
    <row r="836" spans="1:45" ht="12.7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</row>
    <row r="837" spans="1:45" ht="12.7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</row>
    <row r="838" spans="1:45" ht="12.7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</row>
    <row r="839" spans="1:45" ht="12.7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</row>
    <row r="840" spans="1:45" ht="12.7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</row>
    <row r="841" spans="1:45" ht="12.7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</row>
    <row r="842" spans="1:45" ht="12.7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</row>
    <row r="843" spans="1:45" ht="12.7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</row>
    <row r="844" spans="1:45" ht="12.7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</row>
    <row r="845" spans="1:45" ht="12.7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</row>
    <row r="846" spans="1:45" ht="12.7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</row>
    <row r="847" spans="1:45" ht="12.7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</row>
    <row r="848" spans="1:45" ht="12.7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</row>
    <row r="849" spans="1:45" ht="12.7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</row>
    <row r="850" spans="1:45" ht="12.7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</row>
    <row r="851" spans="1:45" ht="12.7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</row>
    <row r="852" spans="1:45" ht="12.7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</row>
    <row r="853" spans="1:45" ht="12.7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</row>
    <row r="854" spans="1:45" ht="12.7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</row>
    <row r="855" spans="1:45" ht="12.7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</row>
    <row r="856" spans="1:45" ht="12.7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</row>
    <row r="857" spans="1:45" ht="12.7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</row>
    <row r="858" spans="1:45" ht="12.7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</row>
    <row r="859" spans="1:45" ht="12.7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</row>
    <row r="860" spans="1:45" ht="12.7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</row>
    <row r="861" spans="1:45" ht="12.7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</row>
    <row r="862" spans="1:45" ht="12.7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</row>
    <row r="863" spans="1:45" ht="12.7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</row>
    <row r="864" spans="1:45" ht="12.7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</row>
    <row r="865" spans="1:45" ht="12.7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</row>
    <row r="866" spans="1:45" ht="12.7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</row>
    <row r="867" spans="1:45" ht="12.7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</row>
    <row r="868" spans="1:45" ht="12.7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</row>
    <row r="869" spans="1:45" ht="12.7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</row>
    <row r="870" spans="1:45" ht="12.7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</row>
    <row r="871" spans="1:45" ht="12.7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</row>
    <row r="872" spans="1:45" ht="12.7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</row>
    <row r="873" spans="1:45" ht="12.7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</row>
    <row r="874" spans="1:45" ht="12.7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</row>
    <row r="875" spans="1:45" ht="12.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</row>
    <row r="876" spans="1:45" ht="12.7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</row>
    <row r="877" spans="1:45" ht="12.7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</row>
    <row r="878" spans="1:45" ht="12.7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</row>
    <row r="879" spans="1:45" ht="12.7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</row>
    <row r="880" spans="1:45" ht="12.7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</row>
    <row r="881" spans="1:45" ht="12.7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</row>
    <row r="882" spans="1:45" ht="12.7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</row>
    <row r="883" spans="1:45" ht="12.7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</row>
    <row r="884" spans="1:45" ht="12.7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</row>
    <row r="885" spans="1:45" ht="12.7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</row>
    <row r="886" spans="1:45" ht="12.7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</row>
    <row r="887" spans="1:45" ht="12.7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</row>
    <row r="888" spans="1:45" ht="12.7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</row>
    <row r="889" spans="1:45" ht="12.7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</row>
    <row r="890" spans="1:45" ht="12.7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</row>
    <row r="891" spans="1:45" ht="12.7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</row>
    <row r="892" spans="1:45" ht="12.7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</row>
    <row r="893" spans="1:45" ht="12.7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</row>
    <row r="894" spans="1:45" ht="12.7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</row>
    <row r="895" spans="1:45" ht="12.7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</row>
    <row r="896" spans="1:45" ht="12.7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</row>
    <row r="897" spans="1:45" ht="12.7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</row>
    <row r="898" spans="1:45" ht="12.7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</row>
    <row r="899" spans="1:45" ht="12.7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</row>
    <row r="900" spans="1:45" ht="12.7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</row>
    <row r="901" spans="1:45" ht="12.7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</row>
    <row r="902" spans="1:45" ht="12.7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</row>
    <row r="903" spans="1:45" ht="12.7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</row>
    <row r="904" spans="1:45" ht="12.7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</row>
    <row r="905" spans="1:45" ht="12.7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</row>
    <row r="906" spans="1:45" ht="12.7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</row>
    <row r="907" spans="1:45" ht="12.7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</row>
    <row r="908" spans="1:45" ht="12.7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</row>
    <row r="909" spans="1:45" ht="12.7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</row>
    <row r="910" spans="1:45" ht="12.7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</row>
    <row r="911" spans="1:45" ht="12.7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</row>
    <row r="912" spans="1:45" ht="12.7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</row>
    <row r="913" spans="1:45" ht="12.7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</row>
    <row r="914" spans="1:45" ht="12.7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</row>
    <row r="915" spans="1:45" ht="12.7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</row>
    <row r="916" spans="1:45" ht="12.7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</row>
    <row r="917" spans="1:45" ht="12.7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</row>
    <row r="918" spans="1:45" ht="12.7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</row>
    <row r="919" spans="1:45" ht="12.7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</row>
    <row r="920" spans="1:45" ht="12.7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</row>
    <row r="921" spans="1:45" ht="12.7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</row>
    <row r="922" spans="1:45" ht="12.7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</row>
    <row r="923" spans="1:45" ht="12.7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</row>
    <row r="924" spans="1:45" ht="12.7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</row>
    <row r="925" spans="1:45" ht="12.7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</row>
    <row r="926" spans="1:45" ht="12.7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</row>
    <row r="927" spans="1:45" ht="12.7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</row>
    <row r="928" spans="1:45" ht="12.7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</row>
    <row r="929" spans="1:45" ht="12.7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</row>
    <row r="930" spans="1:45" ht="12.7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</row>
    <row r="931" spans="1:45" ht="12.7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</row>
    <row r="932" spans="1:45" ht="12.7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</row>
    <row r="933" spans="1:45" ht="12.7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</row>
    <row r="934" spans="1:45" ht="12.7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</row>
    <row r="935" spans="1:45" ht="12.7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</row>
    <row r="936" spans="1:45" ht="12.7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</row>
    <row r="937" spans="1:45" ht="12.7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</row>
    <row r="938" spans="1:45" ht="12.7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</row>
    <row r="939" spans="1:45" ht="12.7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</row>
    <row r="940" spans="1:45" ht="12.7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</row>
    <row r="941" spans="1:45" ht="12.7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</row>
    <row r="942" spans="1:45" ht="12.7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</row>
    <row r="943" spans="1:45" ht="12.7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</row>
    <row r="944" spans="1:45" ht="12.7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</row>
    <row r="945" spans="1:45" ht="12.7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</row>
    <row r="946" spans="1:45" ht="12.7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</row>
    <row r="947" spans="1:45" ht="12.7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</row>
    <row r="948" spans="1:45" ht="12.7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</row>
    <row r="949" spans="1:45" ht="12.7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</row>
    <row r="950" spans="1:45" ht="12.7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</row>
    <row r="951" spans="1:45" ht="12.7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</row>
    <row r="952" spans="1:45" ht="12.7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</row>
    <row r="953" spans="1:45" ht="12.7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</row>
    <row r="954" spans="1:45" ht="12.7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</row>
    <row r="955" spans="1:45" ht="12.7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</row>
    <row r="956" spans="1:45" ht="12.7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</row>
    <row r="957" spans="1:45" ht="12.7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</row>
    <row r="958" spans="1:45" ht="12.7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</row>
    <row r="959" spans="1:45" ht="12.7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</row>
    <row r="960" spans="1:45" ht="12.7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</row>
    <row r="961" spans="1:45" ht="12.7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</row>
    <row r="962" spans="1:45" ht="12.7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</row>
    <row r="963" spans="1:45" ht="12.7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</row>
    <row r="964" spans="1:45" ht="12.7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</row>
    <row r="965" spans="1:45" ht="12.7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</row>
    <row r="966" spans="1:45" ht="12.7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</row>
    <row r="967" spans="1:45" ht="12.7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</row>
    <row r="968" spans="1:45" ht="12.7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</row>
    <row r="969" spans="1:45" ht="12.7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</row>
    <row r="970" spans="1:45" ht="12.7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</row>
    <row r="971" spans="1:45" ht="12.7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</row>
    <row r="972" spans="1:45" ht="12.7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</row>
    <row r="973" spans="1:45" ht="12.7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</row>
    <row r="974" spans="1:45" ht="12.7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</row>
    <row r="975" spans="1:45" ht="12.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</row>
    <row r="976" spans="1:45" ht="12.7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</row>
    <row r="977" spans="1:45" ht="12.7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</row>
    <row r="978" spans="1:45" ht="12.7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</row>
    <row r="979" spans="1:45" ht="12.7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</row>
    <row r="980" spans="1:45" ht="12.7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</row>
    <row r="981" spans="1:45" ht="12.7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</row>
    <row r="982" spans="1:45" ht="12.7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</row>
    <row r="983" spans="1:45" ht="12.7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</row>
    <row r="984" spans="1:45" ht="12.7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</row>
    <row r="985" spans="1:45" ht="12.7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</row>
    <row r="986" spans="1:45" ht="12.7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</row>
    <row r="987" spans="1:45" ht="12.7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</row>
    <row r="988" spans="1:45" ht="12.7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</row>
    <row r="989" spans="1:45" ht="12.7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</row>
    <row r="990" spans="1:45" ht="12.7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</row>
    <row r="991" spans="1:45" ht="12.7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</row>
    <row r="992" spans="1:45" ht="12.7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</row>
    <row r="993" spans="1:45" ht="12.7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</row>
    <row r="994" spans="1:45" ht="12.7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</row>
    <row r="995" spans="1:45" ht="12.7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</row>
    <row r="996" spans="1:45" ht="12.7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</row>
    <row r="997" spans="1:45" ht="12.7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</row>
    <row r="998" spans="1:45" ht="12.7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</row>
    <row r="999" spans="1:45" ht="12.7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</row>
    <row r="1000" spans="1:45" ht="12.7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</row>
    <row r="1001" spans="1:45" ht="12.75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6"/>
      <c r="AR1001" s="16"/>
      <c r="AS1001" s="16"/>
    </row>
    <row r="1002" spans="1:45" ht="12.75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/>
      <c r="AQ1002" s="16"/>
      <c r="AR1002" s="16"/>
      <c r="AS1002" s="16"/>
    </row>
    <row r="1003" spans="1:45" ht="12.75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6"/>
      <c r="AR1003" s="16"/>
      <c r="AS1003" s="16"/>
    </row>
    <row r="1004" spans="1:45" ht="12.75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16"/>
      <c r="AP1004" s="16"/>
      <c r="AQ1004" s="16"/>
      <c r="AR1004" s="16"/>
      <c r="AS1004" s="16"/>
    </row>
    <row r="1005" spans="1:45" ht="12.7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6"/>
      <c r="AP1005" s="16"/>
      <c r="AQ1005" s="16"/>
      <c r="AR1005" s="16"/>
      <c r="AS1005" s="16"/>
    </row>
    <row r="1006" spans="1:45" ht="12.75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  <c r="AM1006" s="16"/>
      <c r="AN1006" s="16"/>
      <c r="AO1006" s="16"/>
      <c r="AP1006" s="16"/>
      <c r="AQ1006" s="16"/>
      <c r="AR1006" s="16"/>
      <c r="AS1006" s="16"/>
    </row>
    <row r="1007" spans="1:45" ht="12.75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6"/>
      <c r="AR1007" s="16"/>
      <c r="AS1007" s="16"/>
    </row>
    <row r="1008" spans="1:45" ht="12.75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  <c r="AM1008" s="16"/>
      <c r="AN1008" s="16"/>
      <c r="AO1008" s="16"/>
      <c r="AP1008" s="16"/>
      <c r="AQ1008" s="16"/>
      <c r="AR1008" s="16"/>
      <c r="AS1008" s="16"/>
    </row>
    <row r="1009" spans="1:45" ht="12.75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  <c r="AM1009" s="16"/>
      <c r="AN1009" s="16"/>
      <c r="AO1009" s="16"/>
      <c r="AP1009" s="16"/>
      <c r="AQ1009" s="16"/>
      <c r="AR1009" s="16"/>
      <c r="AS1009" s="16"/>
    </row>
    <row r="1010" spans="1:45" ht="12.75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  <c r="AM1010" s="16"/>
      <c r="AN1010" s="16"/>
      <c r="AO1010" s="16"/>
      <c r="AP1010" s="16"/>
      <c r="AQ1010" s="16"/>
      <c r="AR1010" s="16"/>
      <c r="AS1010" s="16"/>
    </row>
    <row r="1011" spans="1:45" ht="12.75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  <c r="AM1011" s="16"/>
      <c r="AN1011" s="16"/>
      <c r="AO1011" s="16"/>
      <c r="AP1011" s="16"/>
      <c r="AQ1011" s="16"/>
      <c r="AR1011" s="16"/>
      <c r="AS1011" s="16"/>
    </row>
    <row r="1012" spans="1:45" ht="12.75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  <c r="AM1012" s="16"/>
      <c r="AN1012" s="16"/>
      <c r="AO1012" s="16"/>
      <c r="AP1012" s="16"/>
      <c r="AQ1012" s="16"/>
      <c r="AR1012" s="16"/>
      <c r="AS1012" s="16"/>
    </row>
    <row r="1013" spans="1:45" ht="12.75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  <c r="AM1013" s="16"/>
      <c r="AN1013" s="16"/>
      <c r="AO1013" s="16"/>
      <c r="AP1013" s="16"/>
      <c r="AQ1013" s="16"/>
      <c r="AR1013" s="16"/>
      <c r="AS1013" s="16"/>
    </row>
    <row r="1014" spans="1:45" ht="12.75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  <c r="AM1014" s="16"/>
      <c r="AN1014" s="16"/>
      <c r="AO1014" s="16"/>
      <c r="AP1014" s="16"/>
      <c r="AQ1014" s="16"/>
      <c r="AR1014" s="16"/>
      <c r="AS1014" s="16"/>
    </row>
    <row r="1015" spans="1:45" ht="12.7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  <c r="AM1015" s="16"/>
      <c r="AN1015" s="16"/>
      <c r="AO1015" s="16"/>
      <c r="AP1015" s="16"/>
      <c r="AQ1015" s="16"/>
      <c r="AR1015" s="16"/>
      <c r="AS1015" s="16"/>
    </row>
    <row r="1016" spans="1:45" ht="12.75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  <c r="AM1016" s="16"/>
      <c r="AN1016" s="16"/>
      <c r="AO1016" s="16"/>
      <c r="AP1016" s="16"/>
      <c r="AQ1016" s="16"/>
      <c r="AR1016" s="16"/>
      <c r="AS1016" s="16"/>
    </row>
    <row r="1017" spans="1:45" ht="12.75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  <c r="AM1017" s="16"/>
      <c r="AN1017" s="16"/>
      <c r="AO1017" s="16"/>
      <c r="AP1017" s="16"/>
      <c r="AQ1017" s="16"/>
      <c r="AR1017" s="16"/>
      <c r="AS1017" s="16"/>
    </row>
    <row r="1018" spans="1:45" ht="12.75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  <c r="AM1018" s="16"/>
      <c r="AN1018" s="16"/>
      <c r="AO1018" s="16"/>
      <c r="AP1018" s="16"/>
      <c r="AQ1018" s="16"/>
      <c r="AR1018" s="16"/>
      <c r="AS1018" s="16"/>
    </row>
    <row r="1019" spans="1:45" ht="12.75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  <c r="AM1019" s="16"/>
      <c r="AN1019" s="16"/>
      <c r="AO1019" s="16"/>
      <c r="AP1019" s="16"/>
      <c r="AQ1019" s="16"/>
      <c r="AR1019" s="16"/>
      <c r="AS1019" s="16"/>
    </row>
    <row r="1020" spans="1:45" ht="12.75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  <c r="AM1020" s="16"/>
      <c r="AN1020" s="16"/>
      <c r="AO1020" s="16"/>
      <c r="AP1020" s="16"/>
      <c r="AQ1020" s="16"/>
      <c r="AR1020" s="16"/>
      <c r="AS1020" s="16"/>
    </row>
    <row r="1021" spans="1:45" ht="12.75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  <c r="AM1021" s="16"/>
      <c r="AN1021" s="16"/>
      <c r="AO1021" s="16"/>
      <c r="AP1021" s="16"/>
      <c r="AQ1021" s="16"/>
      <c r="AR1021" s="16"/>
      <c r="AS1021" s="16"/>
    </row>
    <row r="1022" spans="1:45" ht="12.75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  <c r="AM1022" s="16"/>
      <c r="AN1022" s="16"/>
      <c r="AO1022" s="16"/>
      <c r="AP1022" s="16"/>
      <c r="AQ1022" s="16"/>
      <c r="AR1022" s="16"/>
      <c r="AS1022" s="16"/>
    </row>
    <row r="1023" spans="1:45" ht="12.75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  <c r="AM1023" s="16"/>
      <c r="AN1023" s="16"/>
      <c r="AO1023" s="16"/>
      <c r="AP1023" s="16"/>
      <c r="AQ1023" s="16"/>
      <c r="AR1023" s="16"/>
      <c r="AS1023" s="16"/>
    </row>
  </sheetData>
  <mergeCells count="11">
    <mergeCell ref="AC43:AG43"/>
    <mergeCell ref="AI43:AM43"/>
    <mergeCell ref="I2:N2"/>
    <mergeCell ref="A2:F2"/>
    <mergeCell ref="A10:F13"/>
    <mergeCell ref="C30:L33"/>
    <mergeCell ref="Q42:AS42"/>
    <mergeCell ref="A43:N43"/>
    <mergeCell ref="Q43:U43"/>
    <mergeCell ref="W43:AA43"/>
    <mergeCell ref="AO43:AS43"/>
  </mergeCells>
  <hyperlinks>
    <hyperlink ref="A19" r:id="rId1" xr:uid="{00000000-0004-0000-0200-000000000000}"/>
    <hyperlink ref="M19" r:id="rId2" xr:uid="{00000000-0004-0000-0200-000001000000}"/>
    <hyperlink ref="A20" r:id="rId3" xr:uid="{00000000-0004-0000-0200-000002000000}"/>
    <hyperlink ref="M20" r:id="rId4" xr:uid="{00000000-0004-0000-0200-000003000000}"/>
    <hyperlink ref="A21" r:id="rId5" xr:uid="{00000000-0004-0000-0200-000004000000}"/>
    <hyperlink ref="M21" r:id="rId6" xr:uid="{00000000-0004-0000-0200-000005000000}"/>
    <hyperlink ref="A22" r:id="rId7" xr:uid="{00000000-0004-0000-0200-000006000000}"/>
    <hyperlink ref="A23" r:id="rId8" xr:uid="{00000000-0004-0000-0200-000007000000}"/>
  </hyperlinks>
  <pageMargins left="0.7" right="0.7" top="0.75" bottom="0.75" header="0.3" footer="0.3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2"/>
  <sheetViews>
    <sheetView workbookViewId="0"/>
  </sheetViews>
  <sheetFormatPr defaultColWidth="12.5703125" defaultRowHeight="15.75" customHeight="1"/>
  <cols>
    <col min="2" max="2" width="28.42578125" customWidth="1"/>
  </cols>
  <sheetData>
    <row r="1" spans="1:26">
      <c r="A1" s="17"/>
      <c r="B1" s="17"/>
      <c r="C1" s="17"/>
      <c r="D1" s="17"/>
      <c r="E1" s="17"/>
      <c r="F1" s="17"/>
      <c r="G1" s="17"/>
      <c r="H1" s="57"/>
      <c r="I1" s="57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>
      <c r="A2" s="17"/>
      <c r="B2" s="17"/>
      <c r="C2" s="17"/>
      <c r="D2" s="17"/>
      <c r="E2" s="17"/>
      <c r="F2" s="17"/>
      <c r="G2" s="17"/>
      <c r="H2" s="57"/>
      <c r="I2" s="57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>
      <c r="A3" s="17"/>
      <c r="B3" s="17"/>
      <c r="C3" s="59"/>
      <c r="D3" s="17"/>
      <c r="E3" s="17"/>
      <c r="F3" s="17"/>
      <c r="G3" s="17"/>
      <c r="H3" s="57"/>
      <c r="I3" s="57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>
      <c r="A4" s="17"/>
      <c r="B4" s="60" t="s">
        <v>147</v>
      </c>
      <c r="C4" s="17"/>
      <c r="D4" s="17"/>
      <c r="E4" s="17"/>
      <c r="F4" s="17"/>
      <c r="G4" s="17"/>
      <c r="H4" s="57"/>
      <c r="I4" s="57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>
      <c r="A5" s="17"/>
      <c r="B5" s="17"/>
      <c r="C5" s="17"/>
      <c r="D5" s="17"/>
      <c r="E5" s="17"/>
      <c r="F5" s="17"/>
      <c r="G5" s="17"/>
      <c r="H5" s="57"/>
      <c r="I5" s="57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>
      <c r="A6" s="17"/>
      <c r="B6" s="17"/>
      <c r="C6" s="17"/>
      <c r="D6" s="17"/>
      <c r="E6" s="17"/>
      <c r="F6" s="17"/>
      <c r="G6" s="17"/>
      <c r="H6" s="17"/>
      <c r="I6" s="57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>
      <c r="A7" s="17"/>
      <c r="B7" s="29"/>
      <c r="C7" s="61" t="s">
        <v>48</v>
      </c>
      <c r="D7" s="61" t="s">
        <v>49</v>
      </c>
      <c r="E7" s="61" t="s">
        <v>50</v>
      </c>
      <c r="F7" s="61" t="s">
        <v>51</v>
      </c>
      <c r="G7" s="62" t="s">
        <v>52</v>
      </c>
      <c r="H7" s="17"/>
      <c r="I7" s="57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>
      <c r="A8" s="127" t="s">
        <v>148</v>
      </c>
      <c r="B8" s="63" t="s">
        <v>149</v>
      </c>
      <c r="C8" s="64">
        <v>385</v>
      </c>
      <c r="D8" s="64">
        <v>238</v>
      </c>
      <c r="E8" s="17">
        <v>251</v>
      </c>
      <c r="F8" s="17">
        <v>241</v>
      </c>
      <c r="G8" s="65">
        <v>222</v>
      </c>
      <c r="H8" s="17"/>
      <c r="I8" s="66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>
      <c r="A9" s="110"/>
      <c r="B9" s="63" t="s">
        <v>150</v>
      </c>
      <c r="C9" s="67">
        <v>2301</v>
      </c>
      <c r="D9" s="17">
        <v>1737</v>
      </c>
      <c r="E9" s="17">
        <v>2083</v>
      </c>
      <c r="F9" s="17">
        <v>1734</v>
      </c>
      <c r="G9" s="65">
        <v>1691</v>
      </c>
      <c r="H9" s="17"/>
      <c r="I9" s="6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>
      <c r="A10" s="110"/>
      <c r="B10" s="63" t="s">
        <v>151</v>
      </c>
      <c r="C10" s="67">
        <v>7523</v>
      </c>
      <c r="D10" s="17">
        <v>2938</v>
      </c>
      <c r="E10" s="17">
        <v>3708</v>
      </c>
      <c r="F10" s="17">
        <v>3441</v>
      </c>
      <c r="G10" s="65">
        <v>3497</v>
      </c>
      <c r="H10" s="17"/>
      <c r="I10" s="6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>
      <c r="A11" s="110"/>
      <c r="B11" s="63" t="s">
        <v>152</v>
      </c>
      <c r="C11" s="67">
        <f t="shared" ref="C11:G11" si="0">C9+C10</f>
        <v>9824</v>
      </c>
      <c r="D11" s="67">
        <f t="shared" si="0"/>
        <v>4675</v>
      </c>
      <c r="E11" s="67">
        <f t="shared" si="0"/>
        <v>5791</v>
      </c>
      <c r="F11" s="67">
        <f t="shared" si="0"/>
        <v>5175</v>
      </c>
      <c r="G11" s="69">
        <f t="shared" si="0"/>
        <v>5188</v>
      </c>
      <c r="H11" s="17"/>
      <c r="I11" s="6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21" customHeight="1">
      <c r="A12" s="110"/>
      <c r="B12" s="70" t="s">
        <v>153</v>
      </c>
      <c r="C12" s="59">
        <f t="shared" ref="C12:G12" si="1">C8/C11</f>
        <v>3.9189739413680778E-2</v>
      </c>
      <c r="D12" s="59">
        <f t="shared" si="1"/>
        <v>5.0909090909090911E-2</v>
      </c>
      <c r="E12" s="59">
        <f t="shared" si="1"/>
        <v>4.334311863236056E-2</v>
      </c>
      <c r="F12" s="59">
        <f t="shared" si="1"/>
        <v>4.6570048309178741E-2</v>
      </c>
      <c r="G12" s="71">
        <f t="shared" si="1"/>
        <v>4.2791056283731692E-2</v>
      </c>
      <c r="H12" s="17"/>
      <c r="I12" s="72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>
      <c r="A13" s="110"/>
      <c r="B13" s="63" t="s">
        <v>154</v>
      </c>
      <c r="C13" s="67">
        <v>9911</v>
      </c>
      <c r="D13" s="73">
        <v>4361</v>
      </c>
      <c r="E13" s="73">
        <v>11266</v>
      </c>
      <c r="F13" s="73">
        <v>13715</v>
      </c>
      <c r="G13" s="65">
        <v>12875</v>
      </c>
      <c r="H13" s="17"/>
      <c r="I13" s="6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>
      <c r="A14" s="17"/>
      <c r="B14" s="63" t="s">
        <v>155</v>
      </c>
      <c r="C14" s="73">
        <v>44972</v>
      </c>
      <c r="D14" s="73">
        <v>25647</v>
      </c>
      <c r="E14" s="73">
        <v>49041</v>
      </c>
      <c r="F14" s="73">
        <v>62846</v>
      </c>
      <c r="G14" s="65">
        <v>55266</v>
      </c>
      <c r="H14" s="17"/>
      <c r="I14" s="6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>
      <c r="A15" s="17"/>
      <c r="B15" s="74" t="s">
        <v>156</v>
      </c>
      <c r="C15" s="75">
        <f t="shared" ref="C15:G15" si="2">C13/C14</f>
        <v>0.22038157075513654</v>
      </c>
      <c r="D15" s="75">
        <f t="shared" si="2"/>
        <v>0.17003938082426795</v>
      </c>
      <c r="E15" s="75">
        <f t="shared" si="2"/>
        <v>0.22972614750922699</v>
      </c>
      <c r="F15" s="75">
        <f t="shared" si="2"/>
        <v>0.21823186837666678</v>
      </c>
      <c r="G15" s="76">
        <f t="shared" si="2"/>
        <v>0.23296420945970397</v>
      </c>
      <c r="H15" s="17"/>
      <c r="I15" s="77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>
      <c r="A16" s="17"/>
      <c r="B16" s="78" t="s">
        <v>157</v>
      </c>
      <c r="C16" s="79">
        <f t="shared" ref="C16:G16" si="3">C12*(1-C15)</f>
        <v>3.0553043084209325E-2</v>
      </c>
      <c r="D16" s="79">
        <f t="shared" si="3"/>
        <v>4.2252540612582726E-2</v>
      </c>
      <c r="E16" s="79">
        <f t="shared" si="3"/>
        <v>3.3386070967912976E-2</v>
      </c>
      <c r="F16" s="79">
        <f t="shared" si="3"/>
        <v>3.6406979656275033E-2</v>
      </c>
      <c r="G16" s="80">
        <f t="shared" si="3"/>
        <v>3.2822271684646437E-2</v>
      </c>
      <c r="H16" s="17"/>
      <c r="I16" s="57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>
      <c r="A17" s="57"/>
      <c r="B17" s="57"/>
      <c r="C17" s="57"/>
      <c r="D17" s="57"/>
      <c r="E17" s="57"/>
      <c r="F17" s="57"/>
      <c r="G17" s="57"/>
      <c r="H17" s="57"/>
      <c r="I17" s="57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>
      <c r="A18" s="57"/>
      <c r="B18" s="57"/>
      <c r="C18" s="57"/>
      <c r="D18" s="57"/>
      <c r="E18" s="57"/>
      <c r="F18" s="57"/>
      <c r="G18" s="57"/>
      <c r="H18" s="57"/>
      <c r="I18" s="57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>
      <c r="A19" s="57"/>
      <c r="B19" s="57"/>
      <c r="C19" s="57"/>
      <c r="D19" s="57"/>
      <c r="E19" s="57"/>
      <c r="F19" s="57"/>
      <c r="G19" s="57"/>
      <c r="H19" s="57"/>
      <c r="I19" s="57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>
      <c r="A20" s="57"/>
      <c r="B20" s="57"/>
      <c r="C20" s="57"/>
      <c r="D20" s="57"/>
      <c r="E20" s="57"/>
      <c r="F20" s="57"/>
      <c r="G20" s="57"/>
      <c r="H20" s="57"/>
      <c r="I20" s="57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>
      <c r="A21" s="57"/>
      <c r="B21" s="57"/>
      <c r="C21" s="57"/>
      <c r="D21" s="57"/>
      <c r="E21" s="57"/>
      <c r="F21" s="57"/>
      <c r="G21" s="57"/>
      <c r="H21" s="57"/>
      <c r="I21" s="57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>
      <c r="A22" s="57"/>
      <c r="B22" s="57"/>
      <c r="C22" s="57"/>
      <c r="D22" s="57"/>
      <c r="E22" s="57"/>
      <c r="F22" s="57"/>
      <c r="G22" s="57"/>
      <c r="H22" s="57"/>
      <c r="I22" s="57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>
      <c r="A23" s="57"/>
      <c r="B23" s="57"/>
      <c r="C23" s="57"/>
      <c r="D23" s="57"/>
      <c r="E23" s="57"/>
      <c r="F23" s="57"/>
      <c r="G23" s="57"/>
      <c r="H23" s="57"/>
      <c r="I23" s="57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>
      <c r="A24" s="57"/>
      <c r="B24" s="57"/>
      <c r="C24" s="57"/>
      <c r="D24" s="57"/>
      <c r="E24" s="57"/>
      <c r="F24" s="57"/>
      <c r="G24" s="57"/>
      <c r="H24" s="57"/>
      <c r="I24" s="57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2.7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2.75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2.75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2.75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2.75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2.75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2.75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2.75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2.75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2.75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2.7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2.75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2.75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2.75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2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2.75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2.75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2.75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2.75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2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2.7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2.75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2.75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2.75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2.75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2.75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2.75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2.75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2.75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2.75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2.7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2.75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2.75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2.75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2.75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2.75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2.75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2.75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2.75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2.75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2.7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2.75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2.75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2.75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2.75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2.75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2.75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2.75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2.75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2.75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2.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2.75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2.75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2.75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2.75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2.75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2.75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2.75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2.75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2.75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2.7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2.75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2.75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2.75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2.75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2.75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2.75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2.75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2.75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2.75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2.7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2.75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2.75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2.75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2.75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2.75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2.75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2.75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2.75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2.75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2.7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2.75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2.75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2.75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2.75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2.75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2.75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2.75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2.75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2.75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2.7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2.75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2.75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2.75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2.75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2.75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2.75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2.75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2.75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2.75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2.7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2.75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2.75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2.75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2.75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2.75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2.75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2.75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2.75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2.75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2.7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2.75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2.75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2.75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2.75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2.75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2.75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2.75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2.75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2.75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2.7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2.75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2.75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2.75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2.7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2.75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2.75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2.75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2.75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2.75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2.7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2.7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2.75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2.75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2.75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2.75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2.75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2.75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2.75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2.75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2.7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2.75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2.75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2.75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2.7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2.75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2.75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2.75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2.75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2.75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2.7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2.75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2.75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2.75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2.75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2.75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2.75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2.75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2.75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2.75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2.7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2.75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2.7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2.75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2.75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2.75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2.75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2.75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2.7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2.75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2.7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2.75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2.75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2.75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2.75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2.75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2.75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2.75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2.75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2.75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2.7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2.75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2.75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2.75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2.75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2.75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2.75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2.75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2.75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2.75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2.7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2.75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2.75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2.75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2.75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2.75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2.75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2.75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2.75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2.75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2.7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2.75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2.75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2.75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2.75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2.75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2.75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2.75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2.75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2.75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2.7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2.75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2.75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2.75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2.75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2.75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2.75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2.75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2.75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2.75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2.7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2.75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2.75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2.75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2.75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2.75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2.75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2.75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2.75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2.75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2.7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2.75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2.75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2.75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2.75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2.75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2.75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2.75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2.75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2.75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2.7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2.75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2.75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2.75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2.75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2.75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2.75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2.75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2.75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2.75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2.7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2.75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2.75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2.75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2.75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2.75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2.75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2.75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2.75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2.75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2.7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2.75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2.75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2.75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2.75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2.75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2.75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2.75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2.75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2.75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2.7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2.75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2.75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2.75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2.75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2.75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2.75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2.75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2.75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2.75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2.7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2.75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2.75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2.75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2.75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2.75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2.75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2.75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2.75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2.75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2.7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2.75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2.75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2.75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2.75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2.75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2.75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2.75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2.75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2.75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2.7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2.75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2.75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2.75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2.75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2.75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2.75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2.75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2.75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2.75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2.7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2.75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2.75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2.75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2.75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2.75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2.75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2.75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2.75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2.75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2.7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2.75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2.75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2.75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2.75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2.75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2.75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2.75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2.75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2.75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2.7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2.75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2.75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2.75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2.75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2.75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2.75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2.75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2.75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2.75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2.7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2.75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2.75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2.75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2.75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2.75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2.75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2.75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2.75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2.75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2.7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2.75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2.75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2.75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2.75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2.75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2.75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2.75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2.75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2.75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2.7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2.75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2.75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2.75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2.75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2.75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2.75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2.75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2.75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2.75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2.7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2.75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2.75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2.75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2.75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2.75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2.75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2.75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2.75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2.75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2.7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2.75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2.75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2.75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2.75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2.75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2.75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2.75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2.75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2.75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2.7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2.75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2.75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2.75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2.75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2.75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2.75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2.75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2.75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2.75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2.7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2.75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2.75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2.75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2.75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2.75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2.75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2.75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2.75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2.75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2.7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2.75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2.75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2.75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2.75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2.75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2.75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2.75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2.75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2.75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2.7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2.75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2.75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2.75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2.75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2.75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2.75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2.75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2.75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2.75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2.7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2.75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2.75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2.75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2.75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2.75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2.75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2.75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2.75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2.75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2.7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2.75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2.75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2.75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2.75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2.75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2.75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2.75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2.75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2.75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2.7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2.75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2.75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2.75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2.75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2.75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2.75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2.75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2.75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2.75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2.7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2.75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2.75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2.75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2.75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2.75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2.75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2.75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2.75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2.75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2.7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2.75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2.75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2.75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2.75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2.75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2.75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2.75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2.75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2.75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2.7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2.75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2.75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2.75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2.75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2.75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2.75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2.75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2.75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2.75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2.7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2.75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2.75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2.75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2.75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2.75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2.75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2.75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2.75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2.75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2.7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2.75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2.75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2.75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2.75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2.75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2.75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2.75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2.75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2.75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2.7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2.75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2.75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2.75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2.75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2.75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2.75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2.75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2.75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2.75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2.7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2.75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2.75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2.75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2.75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2.75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2.75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2.75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2.75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2.75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2.7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2.75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2.75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2.75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2.75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2.75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2.75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2.75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2.75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2.75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2.7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2.75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2.75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2.75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2.75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2.75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2.75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2.75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2.75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2.75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2.7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2.75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2.75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2.75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2.75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2.75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2.75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2.75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2.75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2.75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2.7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2.75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2.75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2.75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2.75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2.75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2.75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2.75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2.75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2.75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2.7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2.75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2.75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2.75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2.75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2.75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2.75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2.75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2.75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2.75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2.7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2.75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2.75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2.75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2.75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2.75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2.75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2.75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2.75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2.75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2.7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2.75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2.75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2.75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2.75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2.75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2.75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2.75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2.75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2.75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2.7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2.75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2.75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2.75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2.75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2.75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2.75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2.75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2.75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2.75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2.7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2.75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2.75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2.75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2.75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2.75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2.75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2.75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2.75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2.75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2.7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2.75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2.75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2.75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2.75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2.75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2.75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2.75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2.75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2.75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2.7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2.75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2.75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2.75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2.75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2.75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2.75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2.75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2.75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2.75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2.7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2.75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2.75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2.75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2.75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2.75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2.75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2.75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2.75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2.75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2.7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2.75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2.75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2.75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2.75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2.75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2.75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2.75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2.75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2.75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2.7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2.75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2.75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2.75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2.75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2.75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2.75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2.75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2.75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2.75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2.7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2.75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2.75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2.75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2.75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2.75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2.75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2.75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2.75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2.75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2.75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2.75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2.75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2.75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2.75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2.75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2.75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2.75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2.75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2.75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2.75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2.75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2.75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2.75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2.75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2.75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2.75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2.75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2.75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2.75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2.75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2.75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2.75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2.75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2.75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2.75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2.75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2.75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2.75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2.75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2.75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2.75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2.75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2.75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2.75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2.75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2.75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2.75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2.75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2.75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2.75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2.75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2.75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2.75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2.75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2.75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2.75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2.75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2.75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2.75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2.75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2.75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2.75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2.75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2.75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2.75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2.75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2.75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2.75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2.75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2.75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2.75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2.75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2.75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2.75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2.75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2.75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2.75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2.75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2.75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2.75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2.75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2.75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2.75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2.75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2.75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2.75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2.75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2.75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2.75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2.75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2.75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2.75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2.75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2.75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2.75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2.75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2.75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2.75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2.75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2.75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2.75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2.75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2.75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2.75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2.75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2.75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2.75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2.75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2.75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2.75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2.75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2.75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2.75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2.75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2.75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2.75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2.75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2.75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2.75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2.75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2.75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2.75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2.75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2.75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2.75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2.75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2.75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2.75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2.75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2.75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2.75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2.75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2.75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2.75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2.75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2.75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2.75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2.75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2.75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2.75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2.75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2.75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2.75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2.75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2.75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2.75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2.75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2.75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2.75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2.75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2.75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2.75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2.75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2.75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2.75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2.75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2.75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2.75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2.75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2.75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2.75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2.75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2.75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2.75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2.75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2.75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2.75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2.75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2.75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2.75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2.75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2.75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2.75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2.75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2.75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2.75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2.75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2.75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2.75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2.75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2.75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2.75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2.75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2.75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2.75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2.75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2.75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2.75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2.75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2.75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2.75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2.75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2.75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2.75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2.75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2.75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2.75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2.75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2.75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2.75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2.75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2.75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2.75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2.75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2.75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2.75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2.75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2.75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2.75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2.7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2.75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2.75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2.75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2.75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2.75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2.75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2.75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2.75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2.75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2.7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2.75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2.75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2.75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2.75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2.75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2.75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2.75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2.75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2.75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2.7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2.75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2.75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2.75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2.75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2.75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2.75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2.75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2.75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2.75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2.7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2.75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2.75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2.75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2.75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2.75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2.75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2.75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2.75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2.75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2.7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2.75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2.75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2.75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2.75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2.75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2.75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2.75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2.75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2.75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2.7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2.75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2.75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2.75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2.75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2.75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2.75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2.75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2.75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2.75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2.7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2.75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2.75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2.75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2.75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2.75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2.75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2.75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2.75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2.75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2.7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2.75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2.75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2.75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2.75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2.75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2.75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2.75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2.75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2.75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2.7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2.75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2.75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2.75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2.75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2.75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2.75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2.75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2.75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2.75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2.75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2.75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2.75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2.75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2.75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2.75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 spans="1:26" ht="12.75">
      <c r="A1001" s="58"/>
      <c r="B1001" s="58"/>
      <c r="C1001" s="58"/>
      <c r="D1001" s="58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  <row r="1002" spans="1:26" ht="12.75">
      <c r="A1002" s="58"/>
      <c r="B1002" s="58"/>
      <c r="C1002" s="58"/>
      <c r="D1002" s="58"/>
      <c r="E1002" s="58"/>
      <c r="F1002" s="58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</row>
  </sheetData>
  <mergeCells count="1">
    <mergeCell ref="A8:A13"/>
  </mergeCells>
  <hyperlinks>
    <hyperlink ref="C7" r:id="rId1" xr:uid="{00000000-0004-0000-0300-000000000000}"/>
    <hyperlink ref="D7" r:id="rId2" xr:uid="{00000000-0004-0000-0300-000001000000}"/>
    <hyperlink ref="E7" r:id="rId3" xr:uid="{00000000-0004-0000-0300-000002000000}"/>
    <hyperlink ref="F7" r:id="rId4" xr:uid="{00000000-0004-0000-0300-000003000000}"/>
    <hyperlink ref="G7" r:id="rId5" xr:uid="{00000000-0004-0000-0300-000004000000}"/>
  </hyperlinks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6"/>
  <sheetViews>
    <sheetView workbookViewId="0"/>
  </sheetViews>
  <sheetFormatPr defaultColWidth="12.5703125" defaultRowHeight="15.75" customHeight="1"/>
  <cols>
    <col min="2" max="2" width="37.140625" customWidth="1"/>
    <col min="3" max="3" width="16.5703125" customWidth="1"/>
    <col min="4" max="4" width="16.42578125" customWidth="1"/>
    <col min="5" max="5" width="16.7109375" customWidth="1"/>
    <col min="6" max="6" width="14.5703125" customWidth="1"/>
    <col min="7" max="7" width="16.140625" customWidth="1"/>
    <col min="8" max="8" width="14.42578125" customWidth="1"/>
    <col min="9" max="9" width="33.7109375" customWidth="1"/>
  </cols>
  <sheetData>
    <row r="1" spans="1:26" ht="15.75" customHeight="1">
      <c r="A1" s="17"/>
      <c r="B1" s="17"/>
      <c r="C1" s="17"/>
      <c r="D1" s="17"/>
      <c r="E1" s="17"/>
      <c r="F1" s="17"/>
      <c r="G1" s="17"/>
      <c r="H1" s="17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5.75" customHeight="1">
      <c r="A2" s="17"/>
      <c r="B2" s="17"/>
      <c r="C2" s="17"/>
      <c r="D2" s="17"/>
      <c r="E2" s="17"/>
      <c r="F2" s="17"/>
      <c r="G2" s="17"/>
      <c r="H2" s="17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5.75" customHeight="1">
      <c r="A3" s="17"/>
      <c r="B3" s="17"/>
      <c r="C3" s="17"/>
      <c r="D3" s="17"/>
      <c r="E3" s="17"/>
      <c r="F3" s="17"/>
      <c r="G3" s="17"/>
      <c r="H3" s="17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5.75" customHeight="1">
      <c r="A4" s="17"/>
      <c r="B4" s="17"/>
      <c r="C4" s="17"/>
      <c r="D4" s="17"/>
      <c r="E4" s="17"/>
      <c r="F4" s="17"/>
      <c r="G4" s="17"/>
      <c r="H4" s="129" t="s">
        <v>158</v>
      </c>
      <c r="I4" s="81"/>
      <c r="J4" s="81" t="s">
        <v>48</v>
      </c>
      <c r="K4" s="81" t="s">
        <v>49</v>
      </c>
      <c r="L4" s="81" t="s">
        <v>50</v>
      </c>
      <c r="M4" s="81" t="s">
        <v>51</v>
      </c>
      <c r="N4" s="82" t="s">
        <v>52</v>
      </c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5.75" customHeight="1">
      <c r="A5" s="17"/>
      <c r="B5" s="17"/>
      <c r="C5" s="17"/>
      <c r="D5" s="17"/>
      <c r="E5" s="17"/>
      <c r="F5" s="17"/>
      <c r="G5" s="17"/>
      <c r="H5" s="130"/>
      <c r="I5" s="17" t="s">
        <v>159</v>
      </c>
      <c r="J5" s="83" t="s">
        <v>160</v>
      </c>
      <c r="K5" s="83" t="s">
        <v>161</v>
      </c>
      <c r="L5" s="83" t="s">
        <v>162</v>
      </c>
      <c r="M5" s="83" t="s">
        <v>163</v>
      </c>
      <c r="N5" s="84" t="s">
        <v>163</v>
      </c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5.75" customHeight="1">
      <c r="A6" s="17"/>
      <c r="B6" s="17"/>
      <c r="C6" s="17"/>
      <c r="D6" s="17"/>
      <c r="E6" s="17"/>
      <c r="F6" s="17"/>
      <c r="G6" s="17"/>
      <c r="H6" s="130"/>
      <c r="I6" s="17" t="s">
        <v>164</v>
      </c>
      <c r="J6" s="83">
        <f>'Cost of Equity'!AP45</f>
        <v>1418</v>
      </c>
      <c r="K6" s="83">
        <f>'Cost of Equity'!AJ45</f>
        <v>1250.4000000000001</v>
      </c>
      <c r="L6" s="83">
        <f>'Cost of Equity'!AD45</f>
        <v>1101.8499999999999</v>
      </c>
      <c r="M6" s="83">
        <f>'Cost of Equity'!X45</f>
        <v>1499.3</v>
      </c>
      <c r="N6" s="84">
        <f>'Cost of Equity'!R45</f>
        <v>991.25</v>
      </c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5.75" customHeight="1">
      <c r="A7" s="17"/>
      <c r="B7" s="17"/>
      <c r="C7" s="17"/>
      <c r="D7" s="17"/>
      <c r="E7" s="17"/>
      <c r="F7" s="17"/>
      <c r="G7" s="17"/>
      <c r="H7" s="130"/>
      <c r="I7" s="17" t="s">
        <v>165</v>
      </c>
      <c r="J7" s="17">
        <f t="shared" ref="J7:N7" si="0">J5*J6/1000000</f>
        <v>1254586.9616940001</v>
      </c>
      <c r="K7" s="17">
        <f t="shared" si="0"/>
        <v>1103506.6266576</v>
      </c>
      <c r="L7" s="17">
        <f t="shared" si="0"/>
        <v>969530.86751509993</v>
      </c>
      <c r="M7" s="17">
        <f t="shared" si="0"/>
        <v>1310327.3374158</v>
      </c>
      <c r="N7" s="65">
        <f t="shared" si="0"/>
        <v>866312.26119750005</v>
      </c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5.75" customHeight="1">
      <c r="A8" s="17"/>
      <c r="B8" s="17"/>
      <c r="C8" s="17"/>
      <c r="D8" s="17"/>
      <c r="E8" s="17"/>
      <c r="F8" s="17"/>
      <c r="G8" s="17"/>
      <c r="H8" s="130"/>
      <c r="I8" s="17" t="s">
        <v>166</v>
      </c>
      <c r="J8" s="67">
        <f>'Cost of Debt'!C11</f>
        <v>9824</v>
      </c>
      <c r="K8" s="67">
        <f>'Cost of Debt'!D11</f>
        <v>4675</v>
      </c>
      <c r="L8" s="67">
        <f>'Cost of Debt'!E11</f>
        <v>5791</v>
      </c>
      <c r="M8" s="67">
        <f>'Cost of Debt'!F11</f>
        <v>5175</v>
      </c>
      <c r="N8" s="69">
        <f>'Cost of Debt'!G11</f>
        <v>5188</v>
      </c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5.75" customHeight="1">
      <c r="A9" s="17"/>
      <c r="B9" s="17"/>
      <c r="C9" s="17"/>
      <c r="D9" s="17"/>
      <c r="E9" s="17"/>
      <c r="F9" s="17"/>
      <c r="G9" s="17"/>
      <c r="H9" s="130"/>
      <c r="I9" s="17" t="s">
        <v>167</v>
      </c>
      <c r="J9" s="67">
        <f t="shared" ref="J9:N9" si="1">J7+J8</f>
        <v>1264410.9616940001</v>
      </c>
      <c r="K9" s="67">
        <f t="shared" si="1"/>
        <v>1108181.6266576</v>
      </c>
      <c r="L9" s="67">
        <f t="shared" si="1"/>
        <v>975321.86751509993</v>
      </c>
      <c r="M9" s="67">
        <f t="shared" si="1"/>
        <v>1315502.3374158</v>
      </c>
      <c r="N9" s="69">
        <f t="shared" si="1"/>
        <v>871500.26119750005</v>
      </c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5.75" customHeight="1">
      <c r="A10" s="17"/>
      <c r="B10" s="17"/>
      <c r="C10" s="17"/>
      <c r="D10" s="17"/>
      <c r="E10" s="17"/>
      <c r="F10" s="17"/>
      <c r="G10" s="17"/>
      <c r="H10" s="130"/>
      <c r="I10" s="17" t="s">
        <v>118</v>
      </c>
      <c r="J10" s="59">
        <f>'Cost of Equity'!B8</f>
        <v>5.606182058403944E-2</v>
      </c>
      <c r="K10" s="59">
        <f>'Cost of Equity'!C8</f>
        <v>7.7139907584895848E-2</v>
      </c>
      <c r="L10" s="59">
        <f>'Cost of Equity'!D8</f>
        <v>6.6188258619321871E-2</v>
      </c>
      <c r="M10" s="59">
        <f>'Cost of Equity'!E8</f>
        <v>0.11947306966991453</v>
      </c>
      <c r="N10" s="71">
        <f>'Cost of Equity'!F8</f>
        <v>6.5834202008909812E-2</v>
      </c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5.75" customHeight="1">
      <c r="H11" s="130"/>
      <c r="I11" s="17" t="s">
        <v>168</v>
      </c>
      <c r="J11" s="59">
        <f>'Cost of Debt'!C16</f>
        <v>3.0553043084209325E-2</v>
      </c>
      <c r="K11" s="59">
        <f>'Cost of Debt'!D16</f>
        <v>4.2252540612582726E-2</v>
      </c>
      <c r="L11" s="59">
        <f>'Cost of Debt'!E16</f>
        <v>3.3386070967912976E-2</v>
      </c>
      <c r="M11" s="59">
        <f>'Cost of Debt'!F16</f>
        <v>3.6406979656275033E-2</v>
      </c>
      <c r="N11" s="71">
        <f>'Cost of Debt'!G16</f>
        <v>3.2822271684646437E-2</v>
      </c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5.75" customHeight="1">
      <c r="H12" s="131"/>
      <c r="I12" s="85" t="s">
        <v>169</v>
      </c>
      <c r="J12" s="86">
        <f t="shared" ref="J12:N12" si="2">(J11*J8/J9)+(J10*J7/J9)</f>
        <v>5.5863626928851107E-2</v>
      </c>
      <c r="K12" s="86">
        <f t="shared" si="2"/>
        <v>7.6992730951867303E-2</v>
      </c>
      <c r="L12" s="86">
        <f t="shared" si="2"/>
        <v>6.5993494741861322E-2</v>
      </c>
      <c r="M12" s="86">
        <f t="shared" si="2"/>
        <v>0.11914629942892428</v>
      </c>
      <c r="N12" s="87">
        <f t="shared" si="2"/>
        <v>6.5637683542825884E-2</v>
      </c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5.75" customHeight="1">
      <c r="H13" s="17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5.75" customHeight="1">
      <c r="H14" s="118" t="s">
        <v>170</v>
      </c>
      <c r="I14" s="110"/>
      <c r="J14" s="23"/>
      <c r="K14" s="17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5.75" customHeight="1">
      <c r="H15" s="118" t="s">
        <v>171</v>
      </c>
      <c r="I15" s="110"/>
      <c r="J15" s="110"/>
      <c r="K15" s="17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5.75" customHeight="1">
      <c r="H16" s="17"/>
      <c r="I16" s="58"/>
      <c r="J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.75" customHeight="1">
      <c r="H17" s="17"/>
      <c r="I17" s="58"/>
      <c r="J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75" customHeight="1">
      <c r="A18" s="17"/>
      <c r="B18" s="17"/>
      <c r="C18" s="17"/>
      <c r="D18" s="17"/>
      <c r="E18" s="17"/>
      <c r="F18" s="17"/>
      <c r="G18" s="17"/>
      <c r="H18" s="17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75" customHeight="1">
      <c r="A19" s="17"/>
      <c r="B19" s="17"/>
      <c r="C19" s="17"/>
      <c r="D19" s="17"/>
      <c r="E19" s="17"/>
      <c r="F19" s="17"/>
      <c r="G19" s="17"/>
      <c r="H19" s="17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75" customHeight="1">
      <c r="A20" s="17"/>
      <c r="B20" s="17"/>
      <c r="C20" s="17"/>
      <c r="D20" s="17"/>
      <c r="E20" s="17"/>
      <c r="F20" s="17"/>
      <c r="G20" s="17"/>
      <c r="H20" s="17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75" customHeight="1">
      <c r="A21" s="17"/>
      <c r="B21" s="17"/>
      <c r="C21" s="17"/>
      <c r="D21" s="17"/>
      <c r="E21" s="17"/>
      <c r="F21" s="17"/>
      <c r="G21" s="17"/>
      <c r="H21" s="17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75" customHeight="1">
      <c r="A22" s="17"/>
      <c r="B22" s="17"/>
      <c r="C22" s="17"/>
      <c r="D22" s="17"/>
      <c r="E22" s="17"/>
      <c r="F22" s="17"/>
      <c r="G22" s="17"/>
      <c r="H22" s="17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5.75" customHeight="1">
      <c r="A23" s="17"/>
      <c r="B23" s="17"/>
      <c r="C23" s="17"/>
      <c r="D23" s="17"/>
      <c r="E23" s="17"/>
      <c r="F23" s="17"/>
      <c r="G23" s="17"/>
      <c r="H23" s="17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75" customHeight="1">
      <c r="A24" s="17"/>
      <c r="B24" s="17"/>
      <c r="C24" s="17"/>
      <c r="D24" s="17"/>
      <c r="E24" s="17"/>
      <c r="F24" s="17"/>
      <c r="G24" s="17"/>
      <c r="H24" s="17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75" customHeight="1">
      <c r="A25" s="17"/>
      <c r="B25" s="17"/>
      <c r="C25" s="17"/>
      <c r="D25" s="17"/>
      <c r="E25" s="17"/>
      <c r="F25" s="17"/>
      <c r="G25" s="17"/>
      <c r="H25" s="17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2.75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2.75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2.75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2.75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8.75">
      <c r="A34" s="58"/>
      <c r="B34" s="128" t="s">
        <v>172</v>
      </c>
      <c r="C34" s="110"/>
      <c r="D34" s="110"/>
      <c r="E34" s="58"/>
      <c r="F34" s="39"/>
      <c r="G34" s="39"/>
      <c r="H34" s="128" t="s">
        <v>173</v>
      </c>
      <c r="I34" s="110"/>
      <c r="J34" s="110"/>
      <c r="K34" s="110"/>
      <c r="L34" s="110"/>
      <c r="M34" s="110"/>
      <c r="N34" s="110"/>
      <c r="O34" s="39"/>
      <c r="P34" s="39"/>
      <c r="Q34" s="39"/>
      <c r="R34" s="39"/>
      <c r="S34" s="58"/>
      <c r="T34" s="58"/>
      <c r="U34" s="58"/>
      <c r="V34" s="58"/>
      <c r="W34" s="58"/>
      <c r="X34" s="58"/>
      <c r="Y34" s="58"/>
      <c r="Z34" s="58"/>
    </row>
    <row r="35" spans="1:26" ht="12.7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2.75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2.75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2.75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2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2.75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2.75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2.75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2.75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2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2.7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2.75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2.75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2.75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2.75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2.75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2.75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2.75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2.75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2.75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2.7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2.75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2.75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2.75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2.75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2.75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2.75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2.75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2.75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2.75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2.7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2.75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2.75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2.75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2.75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2.75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2.75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2.75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2.75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2.75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2.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2.75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2.75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2.75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2.75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2.75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2.75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2.75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2.75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2.75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2.7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2.75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2.75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2.75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2.75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2.75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2.75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2.75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2.75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2.75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2.7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2.75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2.75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2.75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2.75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2.75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2.75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2.75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2.75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2.75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2.7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2.75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2.75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2.75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2.75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2.75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2.75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2.75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2.75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2.75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2.7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2.75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2.75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2.75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2.75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2.75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2.75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2.75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2.75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2.75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2.7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2.75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2.75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2.75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2.75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2.75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2.75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2.75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2.75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2.75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2.7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2.75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2.75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2.75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2.75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2.75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2.75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2.75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2.75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2.75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2.7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2.75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2.75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2.75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2.7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2.75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2.75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2.75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2.75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2.75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2.7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2.7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2.75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2.75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2.75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2.75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2.75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2.75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2.75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2.75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2.7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2.75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2.75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2.75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2.7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2.75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2.75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2.75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2.75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2.75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2.7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2.75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2.75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2.75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2.75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2.75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2.75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2.75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2.75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2.75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2.7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2.75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2.7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2.75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2.75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2.75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2.75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2.75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2.7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2.75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2.7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2.75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2.75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2.75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2.75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2.75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2.75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2.75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2.75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2.75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2.7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2.75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2.75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2.75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2.75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2.75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2.75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2.75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2.75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2.75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2.7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2.75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2.75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2.75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2.75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2.75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2.75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2.75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2.75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2.75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2.7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2.75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2.75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2.75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2.75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2.75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2.75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2.75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2.75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2.75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2.7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2.75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2.75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2.75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2.75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2.75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2.75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2.75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2.75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2.75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2.7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2.75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2.75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2.75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2.75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2.75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2.75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2.75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2.75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2.75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2.7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2.75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2.75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2.75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2.75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2.75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2.75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2.75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2.75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2.75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2.7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2.75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2.75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2.75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2.75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2.75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2.75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2.75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2.75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2.75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2.7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2.75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2.75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2.75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2.75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2.75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2.75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2.75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2.75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2.75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2.7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2.75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2.75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2.75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2.75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2.75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2.75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2.75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2.75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2.75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2.7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2.75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2.75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2.75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2.75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2.75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2.75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2.75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2.75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2.75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2.7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2.75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2.75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2.75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2.75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2.75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2.75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2.75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2.75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2.75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2.7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2.75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2.75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2.75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2.75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2.75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2.75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2.75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2.75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2.75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2.7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2.75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2.75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2.75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2.75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2.75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2.75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2.75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2.75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2.75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2.7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2.75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2.75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2.75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2.75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2.75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2.75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2.75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2.75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2.75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2.7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2.75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2.75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2.75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2.75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2.75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2.75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2.75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2.75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2.75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2.7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2.75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2.75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2.75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2.75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2.75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2.75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2.75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2.75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2.75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2.7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2.75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2.75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2.75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2.75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2.75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2.75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2.75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2.75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2.75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2.7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2.75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2.75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2.75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2.75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2.75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2.75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2.75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2.75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2.75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2.7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2.75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2.75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2.75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2.75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2.75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2.75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2.75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2.75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2.75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2.7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2.75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2.75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2.75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2.75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2.75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2.75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2.75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2.75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2.75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2.7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2.75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2.75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2.75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2.75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2.75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2.75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2.75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2.75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2.75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2.7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2.75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2.75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2.75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2.75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2.75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2.75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2.75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2.75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2.75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2.7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2.75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2.75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2.75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2.75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2.75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2.75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2.75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2.75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2.75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2.7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2.75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2.75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2.75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2.75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2.75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2.75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2.75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2.75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2.75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2.7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2.75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2.75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2.75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2.75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2.75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2.75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2.75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2.75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2.75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2.7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2.75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2.75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2.75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2.75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2.75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2.75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2.75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2.75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2.75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2.7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2.75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2.75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2.75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2.75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2.75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2.75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2.75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2.75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2.75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2.7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2.75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2.75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2.75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2.75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2.75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2.75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2.75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2.75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2.75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2.7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2.75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2.75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2.75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2.75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2.75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2.75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2.75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2.75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2.75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2.7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2.75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2.75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2.75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2.75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2.75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2.75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2.75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2.75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2.75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2.7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2.75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2.75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2.75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2.75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2.75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2.75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2.75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2.75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2.75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2.7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2.75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2.75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2.75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2.75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2.75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2.75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2.75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2.75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2.75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2.7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2.75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2.75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2.75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2.75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2.75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2.75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2.75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2.75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2.75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2.7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2.75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2.75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2.75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2.75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2.75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2.75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2.75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2.75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2.75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2.7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2.75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2.75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2.75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2.75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2.75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2.75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2.75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2.75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2.75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2.7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2.75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2.75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2.75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2.75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2.75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2.75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2.75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2.75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2.75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2.7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2.75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2.75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2.75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2.75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2.75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2.75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2.75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2.75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2.75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2.7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2.75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2.75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2.75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2.75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2.75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2.75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2.75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2.75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2.75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2.7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2.75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2.75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2.75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2.75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2.75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2.75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2.75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2.75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2.75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2.7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2.75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2.75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2.75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2.75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2.75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2.75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2.75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2.75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2.75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2.7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2.75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2.75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2.75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2.75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2.75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2.75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2.75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2.75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2.75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2.7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2.75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2.75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2.75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2.75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2.75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2.75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2.75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2.75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2.75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2.7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2.75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2.75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2.75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2.75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2.75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2.75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2.75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2.75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2.75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2.7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2.75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2.75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2.75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2.75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2.75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2.75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2.75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2.75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2.75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2.7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2.75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2.75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2.75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2.75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2.75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2.75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2.75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2.75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2.75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2.7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2.75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2.75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2.75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2.75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2.75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2.75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2.75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2.75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2.75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2.7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2.75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2.75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2.75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2.75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2.75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2.75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2.75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2.75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2.75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2.7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2.75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2.75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2.75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2.75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2.75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2.75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2.75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2.75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2.75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2.7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2.75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2.75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2.75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2.75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2.75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2.75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2.75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2.75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2.75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2.7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2.75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2.75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2.75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2.75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2.75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2.75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2.75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2.75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2.75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2.75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2.75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2.75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2.75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2.75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2.75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2.75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2.75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2.75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2.75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2.75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2.75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2.75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2.75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2.75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2.75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2.75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2.75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2.75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2.75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2.75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2.75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2.75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2.75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2.75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2.75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2.75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2.75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2.75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2.75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2.75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2.75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2.75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2.75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2.75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2.75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2.75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2.75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2.75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2.75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2.75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2.75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2.75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2.75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2.75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2.75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2.75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2.75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2.75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2.75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2.75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2.75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2.75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2.75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2.75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2.75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2.75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2.75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2.75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2.75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2.75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2.75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2.75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2.75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2.75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2.75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2.75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2.75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2.75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2.75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2.75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2.75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2.75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2.75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2.75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2.75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2.75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2.75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2.75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2.75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2.75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2.75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2.75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2.75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2.75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2.75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2.75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2.75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2.75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2.75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2.75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2.75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2.75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2.75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2.75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2.75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2.75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2.75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2.75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2.75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2.75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2.75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2.75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2.75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2.75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2.75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2.75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2.75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2.75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2.75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2.75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2.75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2.75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2.75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2.75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2.75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2.75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2.75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2.75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2.75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2.75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2.75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>
      <c r="A827" s="58"/>
      <c r="B827" s="58"/>
      <c r="C827" s="58"/>
      <c r="D827" s="58"/>
      <c r="E827" s="58"/>
      <c r="F827" s="58"/>
      <c r="G827" s="17" t="s">
        <v>48</v>
      </c>
      <c r="H827" s="17" t="s">
        <v>49</v>
      </c>
      <c r="I827" s="17" t="s">
        <v>50</v>
      </c>
      <c r="J827" s="17" t="s">
        <v>51</v>
      </c>
      <c r="K827" s="17" t="s">
        <v>52</v>
      </c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>
      <c r="A828" s="58"/>
      <c r="B828" s="58"/>
      <c r="C828" s="58"/>
      <c r="D828" s="58"/>
      <c r="E828" s="58"/>
      <c r="F828" s="17" t="s">
        <v>118</v>
      </c>
      <c r="G828" s="59">
        <v>3.4168651285096989E-2</v>
      </c>
      <c r="H828" s="59">
        <v>5.770115030052593E-2</v>
      </c>
      <c r="I828" s="59">
        <v>4.6352435876609858E-2</v>
      </c>
      <c r="J828" s="59">
        <v>0.10281545718360988</v>
      </c>
      <c r="K828" s="59">
        <v>5.1571276367658951E-2</v>
      </c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>
      <c r="A829" s="58"/>
      <c r="B829" s="58"/>
      <c r="C829" s="58"/>
      <c r="D829" s="58"/>
      <c r="E829" s="58"/>
      <c r="F829" s="17" t="s">
        <v>168</v>
      </c>
      <c r="G829" s="59">
        <v>3.3923475131560854E-2</v>
      </c>
      <c r="H829" s="59">
        <v>1.9897249655116071E-2</v>
      </c>
      <c r="I829" s="59">
        <v>1.5431873675839923E-2</v>
      </c>
      <c r="J829" s="59">
        <v>4.9910630004095888E-2</v>
      </c>
      <c r="K829" s="59">
        <v>4.5534499653050169E-2</v>
      </c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>
      <c r="A830" s="58"/>
      <c r="B830" s="58"/>
      <c r="C830" s="58"/>
      <c r="D830" s="58"/>
      <c r="E830" s="58"/>
      <c r="F830" s="88" t="s">
        <v>169</v>
      </c>
      <c r="G830" s="89">
        <v>3.4167953464271358E-2</v>
      </c>
      <c r="H830" s="89">
        <v>5.7701149479234631E-2</v>
      </c>
      <c r="I830" s="89">
        <v>4.5997264418286957E-2</v>
      </c>
      <c r="J830" s="89">
        <v>0.10226744622938071</v>
      </c>
      <c r="K830" s="89">
        <v>5.1482872561517901E-2</v>
      </c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2.75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2.75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2.75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2.75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2.75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2.75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2.75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2.75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2.75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2.75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2.75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2.75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2.75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2.75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2.75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2.75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2.75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2.75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2.75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2.75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2.75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2.75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2.75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2.75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2.75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2.75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2.75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2.75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2.75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2.75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2.75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2.75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2.75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2.75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2.75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2.75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2.75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2.75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2.75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2.75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2.75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2.75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2.75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2.75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2.75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2.75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2.75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2.75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2.75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2.75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2.75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2.75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2.75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2.75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2.75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2.75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2.75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2.75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2.75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2.75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2.75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2.75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2.75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2.75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2.75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2.75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2.75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2.75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2.75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2.75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2.75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2.75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2.75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2.75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2.7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2.75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2.75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2.75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2.75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2.75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2.75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2.75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2.75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2.75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2.7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2.75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2.75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2.75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2.75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2.75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2.75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2.75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2.75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2.75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2.7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2.75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2.75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2.75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2.75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2.75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2.75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2.75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2.75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2.75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2.7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2.75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2.75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2.75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2.75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2.75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2.75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2.75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2.75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2.75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2.7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2.75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2.75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2.75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2.75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2.75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2.75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2.75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2.75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2.75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2.7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2.75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2.75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2.75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2.75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2.75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2.75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2.75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2.75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2.75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2.7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2.75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2.75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2.75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2.75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2.75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2.75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2.75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2.75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2.75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2.7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2.75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2.75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2.75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2.75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2.75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2.75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2.75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2.75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2.75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2.7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2.75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2.75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2.75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2.75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2.75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2.75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2.75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2.75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2.75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2.75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2.75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2.75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2.75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2.75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2.75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 spans="1:26" ht="12.75">
      <c r="A1001" s="58"/>
      <c r="B1001" s="58"/>
      <c r="C1001" s="58"/>
      <c r="D1001" s="58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  <row r="1002" spans="1:26" ht="12.75">
      <c r="A1002" s="58"/>
      <c r="B1002" s="58"/>
      <c r="C1002" s="58"/>
      <c r="D1002" s="58"/>
      <c r="E1002" s="58"/>
      <c r="F1002" s="58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</row>
    <row r="1003" spans="1:26" ht="12.75">
      <c r="A1003" s="58"/>
      <c r="B1003" s="58"/>
      <c r="C1003" s="58"/>
      <c r="D1003" s="58"/>
      <c r="E1003" s="58"/>
      <c r="F1003" s="58"/>
      <c r="G1003" s="58"/>
      <c r="H1003" s="58"/>
      <c r="I1003" s="58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</row>
    <row r="1004" spans="1:26" ht="12.75">
      <c r="A1004" s="58"/>
      <c r="B1004" s="58"/>
      <c r="C1004" s="58"/>
      <c r="D1004" s="58"/>
      <c r="E1004" s="58"/>
      <c r="F1004" s="58"/>
      <c r="G1004" s="58"/>
      <c r="H1004" s="58"/>
      <c r="I1004" s="58"/>
      <c r="J1004" s="58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</row>
    <row r="1005" spans="1:26" ht="12.75">
      <c r="A1005" s="58"/>
      <c r="B1005" s="58"/>
      <c r="C1005" s="58"/>
      <c r="D1005" s="58"/>
      <c r="E1005" s="58"/>
      <c r="F1005" s="58"/>
      <c r="G1005" s="58"/>
      <c r="H1005" s="58"/>
      <c r="I1005" s="58"/>
      <c r="J1005" s="58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</row>
    <row r="1006" spans="1:26" ht="12.75">
      <c r="A1006" s="58"/>
      <c r="B1006" s="58"/>
      <c r="C1006" s="58"/>
      <c r="D1006" s="58"/>
      <c r="E1006" s="58"/>
      <c r="F1006" s="58"/>
      <c r="G1006" s="58"/>
      <c r="H1006" s="58"/>
      <c r="I1006" s="58"/>
      <c r="J1006" s="58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</row>
  </sheetData>
  <mergeCells count="5">
    <mergeCell ref="H14:I14"/>
    <mergeCell ref="B34:D34"/>
    <mergeCell ref="H34:N34"/>
    <mergeCell ref="H15:J15"/>
    <mergeCell ref="H4:H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0" max="10" width="23.42578125" customWidth="1"/>
    <col min="11" max="11" width="16.42578125" customWidth="1"/>
  </cols>
  <sheetData>
    <row r="1" spans="1:26" ht="15.75" customHeight="1">
      <c r="A1" s="58"/>
      <c r="B1" s="58"/>
      <c r="C1" s="58"/>
      <c r="D1" s="58"/>
      <c r="E1" s="58"/>
      <c r="F1" s="58"/>
      <c r="G1" s="58"/>
      <c r="H1" s="58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8"/>
      <c r="U1" s="58"/>
      <c r="V1" s="58"/>
      <c r="W1" s="58"/>
      <c r="X1" s="58"/>
      <c r="Y1" s="58"/>
      <c r="Z1" s="58"/>
    </row>
    <row r="2" spans="1:26" ht="15.75" customHeight="1">
      <c r="A2" s="58"/>
      <c r="B2" s="58"/>
      <c r="C2" s="58"/>
      <c r="D2" s="58"/>
      <c r="E2" s="58"/>
      <c r="F2" s="58"/>
      <c r="G2" s="58"/>
      <c r="H2" s="58"/>
      <c r="I2" s="60" t="s">
        <v>174</v>
      </c>
      <c r="J2" s="134" t="s">
        <v>175</v>
      </c>
      <c r="K2" s="90"/>
      <c r="L2" s="57"/>
      <c r="M2" s="57"/>
      <c r="N2" s="57"/>
      <c r="O2" s="57"/>
      <c r="P2" s="57"/>
      <c r="Q2" s="57"/>
      <c r="R2" s="57"/>
      <c r="S2" s="57"/>
      <c r="T2" s="58"/>
      <c r="U2" s="58"/>
      <c r="V2" s="58"/>
      <c r="W2" s="58"/>
      <c r="X2" s="58"/>
      <c r="Y2" s="58"/>
      <c r="Z2" s="58"/>
    </row>
    <row r="3" spans="1:26" ht="15.75" customHeight="1">
      <c r="A3" s="58"/>
      <c r="B3" s="58"/>
      <c r="C3" s="58"/>
      <c r="D3" s="58"/>
      <c r="E3" s="58"/>
      <c r="F3" s="58"/>
      <c r="G3" s="58"/>
      <c r="H3" s="58"/>
      <c r="I3" s="57"/>
      <c r="J3" s="110"/>
      <c r="K3" s="90" t="s">
        <v>176</v>
      </c>
      <c r="L3" s="57"/>
      <c r="M3" s="57"/>
      <c r="N3" s="57"/>
      <c r="O3" s="57"/>
      <c r="P3" s="57"/>
      <c r="Q3" s="57"/>
      <c r="R3" s="57"/>
      <c r="S3" s="57"/>
      <c r="T3" s="58"/>
      <c r="U3" s="58"/>
      <c r="V3" s="58"/>
      <c r="W3" s="58"/>
      <c r="X3" s="58"/>
      <c r="Y3" s="58"/>
      <c r="Z3" s="58"/>
    </row>
    <row r="4" spans="1:26" ht="15.75" customHeight="1">
      <c r="A4" s="58"/>
      <c r="B4" s="58"/>
      <c r="C4" s="58"/>
      <c r="D4" s="58"/>
      <c r="E4" s="58"/>
      <c r="F4" s="58"/>
      <c r="G4" s="58"/>
      <c r="H4" s="58"/>
      <c r="I4" s="57"/>
      <c r="J4" s="110"/>
      <c r="K4" s="90"/>
      <c r="L4" s="57"/>
      <c r="M4" s="57"/>
      <c r="N4" s="57"/>
      <c r="O4" s="57"/>
      <c r="P4" s="57"/>
      <c r="Q4" s="57"/>
      <c r="R4" s="57"/>
      <c r="S4" s="57"/>
      <c r="T4" s="58"/>
      <c r="U4" s="58"/>
      <c r="V4" s="58"/>
      <c r="W4" s="58"/>
      <c r="X4" s="58"/>
      <c r="Y4" s="58"/>
      <c r="Z4" s="58"/>
    </row>
    <row r="5" spans="1:26" ht="15.75" customHeight="1">
      <c r="A5" s="58"/>
      <c r="B5" s="58"/>
      <c r="C5" s="58"/>
      <c r="D5" s="58"/>
      <c r="E5" s="58"/>
      <c r="F5" s="58"/>
      <c r="G5" s="58"/>
      <c r="H5" s="58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8"/>
      <c r="U5" s="58"/>
      <c r="V5" s="58"/>
      <c r="W5" s="58"/>
      <c r="X5" s="58"/>
      <c r="Y5" s="58"/>
      <c r="Z5" s="58"/>
    </row>
    <row r="6" spans="1:26" ht="15.75" customHeight="1">
      <c r="A6" s="58"/>
      <c r="B6" s="58"/>
      <c r="C6" s="58"/>
      <c r="D6" s="58"/>
      <c r="E6" s="58"/>
      <c r="F6" s="58"/>
      <c r="G6" s="58"/>
      <c r="H6" s="58"/>
      <c r="I6" s="57"/>
      <c r="J6" s="57" t="s">
        <v>177</v>
      </c>
      <c r="K6" s="136" t="s">
        <v>178</v>
      </c>
      <c r="L6" s="110"/>
      <c r="M6" s="110"/>
      <c r="N6" s="110"/>
      <c r="O6" s="110"/>
      <c r="P6" s="110"/>
      <c r="Q6" s="57"/>
      <c r="R6" s="57"/>
      <c r="S6" s="57"/>
      <c r="T6" s="58"/>
      <c r="U6" s="58"/>
      <c r="V6" s="58"/>
      <c r="W6" s="58"/>
      <c r="X6" s="58"/>
      <c r="Y6" s="58"/>
      <c r="Z6" s="58"/>
    </row>
    <row r="7" spans="1:26" ht="15.75" customHeight="1">
      <c r="A7" s="58"/>
      <c r="B7" s="58"/>
      <c r="C7" s="58"/>
      <c r="D7" s="58"/>
      <c r="E7" s="58"/>
      <c r="F7" s="58"/>
      <c r="G7" s="58"/>
      <c r="H7" s="58"/>
      <c r="I7" s="57"/>
      <c r="J7" s="57"/>
      <c r="K7" s="136" t="s">
        <v>179</v>
      </c>
      <c r="L7" s="110"/>
      <c r="M7" s="110"/>
      <c r="N7" s="110"/>
      <c r="O7" s="110"/>
      <c r="P7" s="110"/>
      <c r="Q7" s="57"/>
      <c r="R7" s="57"/>
      <c r="S7" s="57"/>
      <c r="T7" s="58"/>
      <c r="U7" s="58"/>
      <c r="V7" s="58"/>
      <c r="W7" s="58"/>
      <c r="X7" s="58"/>
      <c r="Y7" s="58"/>
      <c r="Z7" s="58"/>
    </row>
    <row r="8" spans="1:26" ht="15.75" customHeight="1">
      <c r="A8" s="58"/>
      <c r="B8" s="58"/>
      <c r="C8" s="58"/>
      <c r="D8" s="58"/>
      <c r="E8" s="58"/>
      <c r="F8" s="58"/>
      <c r="G8" s="58"/>
      <c r="H8" s="58"/>
      <c r="I8" s="57"/>
      <c r="J8" s="57"/>
      <c r="K8" s="136" t="s">
        <v>180</v>
      </c>
      <c r="L8" s="110"/>
      <c r="M8" s="110"/>
      <c r="N8" s="110"/>
      <c r="O8" s="110"/>
      <c r="P8" s="110"/>
      <c r="Q8" s="110"/>
      <c r="R8" s="57"/>
      <c r="S8" s="57"/>
      <c r="T8" s="58"/>
      <c r="U8" s="58"/>
      <c r="V8" s="58"/>
      <c r="W8" s="58"/>
      <c r="X8" s="58"/>
      <c r="Y8" s="58"/>
      <c r="Z8" s="58"/>
    </row>
    <row r="9" spans="1:26" ht="15.75" customHeight="1">
      <c r="A9" s="58"/>
      <c r="B9" s="58"/>
      <c r="C9" s="58"/>
      <c r="D9" s="58"/>
      <c r="E9" s="58"/>
      <c r="F9" s="58"/>
      <c r="G9" s="58"/>
      <c r="H9" s="58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8"/>
      <c r="U9" s="58"/>
      <c r="V9" s="58"/>
      <c r="W9" s="58"/>
      <c r="X9" s="58"/>
      <c r="Y9" s="58"/>
      <c r="Z9" s="58"/>
    </row>
    <row r="10" spans="1:26" ht="15.75" customHeight="1">
      <c r="A10" s="58"/>
      <c r="B10" s="58"/>
      <c r="C10" s="58"/>
      <c r="D10" s="58"/>
      <c r="E10" s="58"/>
      <c r="F10" s="58"/>
      <c r="G10" s="58"/>
      <c r="H10" s="58"/>
      <c r="I10" s="57"/>
      <c r="J10" s="57" t="s">
        <v>181</v>
      </c>
      <c r="K10" s="57" t="s">
        <v>182</v>
      </c>
      <c r="L10" s="57">
        <v>4</v>
      </c>
      <c r="M10" s="57"/>
      <c r="N10" s="57"/>
      <c r="O10" s="57"/>
      <c r="P10" s="57"/>
      <c r="Q10" s="57"/>
      <c r="R10" s="57"/>
      <c r="S10" s="57"/>
      <c r="T10" s="58"/>
      <c r="U10" s="58"/>
      <c r="V10" s="58"/>
      <c r="W10" s="58"/>
      <c r="X10" s="58"/>
      <c r="Y10" s="58"/>
      <c r="Z10" s="58"/>
    </row>
    <row r="11" spans="1:26" ht="15.75" customHeight="1">
      <c r="A11" s="58"/>
      <c r="B11" s="58"/>
      <c r="C11" s="58"/>
      <c r="D11" s="58"/>
      <c r="E11" s="58"/>
      <c r="F11" s="58"/>
      <c r="G11" s="58"/>
      <c r="H11" s="58"/>
      <c r="I11" s="57"/>
      <c r="J11" s="57"/>
      <c r="K11" s="57" t="s">
        <v>183</v>
      </c>
      <c r="L11" s="57">
        <v>1422</v>
      </c>
      <c r="M11" s="57" t="s">
        <v>184</v>
      </c>
      <c r="N11" s="57"/>
      <c r="O11" s="57"/>
      <c r="P11" s="57"/>
      <c r="Q11" s="57"/>
      <c r="R11" s="57"/>
      <c r="S11" s="57"/>
      <c r="T11" s="58"/>
      <c r="U11" s="58"/>
      <c r="V11" s="58"/>
      <c r="W11" s="58"/>
      <c r="X11" s="58"/>
      <c r="Y11" s="58"/>
      <c r="Z11" s="58"/>
    </row>
    <row r="12" spans="1:26" ht="15.75" customHeight="1">
      <c r="A12" s="58"/>
      <c r="B12" s="58"/>
      <c r="C12" s="58"/>
      <c r="D12" s="58"/>
      <c r="E12" s="58"/>
      <c r="F12" s="58"/>
      <c r="G12" s="58"/>
      <c r="H12" s="58"/>
      <c r="I12" s="57"/>
      <c r="J12" s="57"/>
      <c r="K12" s="136" t="s">
        <v>185</v>
      </c>
      <c r="L12" s="110"/>
      <c r="M12" s="110"/>
      <c r="N12" s="57">
        <f>0.9 *L11</f>
        <v>1279.8</v>
      </c>
      <c r="O12" s="57"/>
      <c r="P12" s="57"/>
      <c r="Q12" s="57"/>
      <c r="R12" s="57"/>
      <c r="S12" s="57"/>
      <c r="T12" s="58"/>
      <c r="U12" s="58"/>
      <c r="V12" s="58"/>
      <c r="W12" s="58"/>
      <c r="X12" s="58"/>
      <c r="Y12" s="58"/>
      <c r="Z12" s="58"/>
    </row>
    <row r="13" spans="1:26" ht="15.75" customHeight="1">
      <c r="A13" s="58"/>
      <c r="B13" s="58"/>
      <c r="C13" s="58"/>
      <c r="D13" s="58"/>
      <c r="E13" s="58"/>
      <c r="F13" s="58"/>
      <c r="G13" s="58"/>
      <c r="H13" s="58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8"/>
      <c r="U13" s="58"/>
      <c r="V13" s="58"/>
      <c r="W13" s="58"/>
      <c r="X13" s="58"/>
      <c r="Y13" s="58"/>
      <c r="Z13" s="58"/>
    </row>
    <row r="14" spans="1:26" ht="15.75" customHeight="1">
      <c r="A14" s="58"/>
      <c r="B14" s="58"/>
      <c r="C14" s="58"/>
      <c r="D14" s="58"/>
      <c r="E14" s="58"/>
      <c r="F14" s="58"/>
      <c r="G14" s="58"/>
      <c r="H14" s="58"/>
      <c r="I14" s="57"/>
      <c r="J14" s="57" t="s">
        <v>186</v>
      </c>
      <c r="K14" s="91" t="s">
        <v>187</v>
      </c>
      <c r="L14" s="92">
        <f>(L10*L11 + N12) / (L10 +1)</f>
        <v>1393.56</v>
      </c>
      <c r="M14" s="57"/>
      <c r="N14" s="57"/>
      <c r="O14" s="57"/>
      <c r="P14" s="57"/>
      <c r="Q14" s="57"/>
      <c r="R14" s="57"/>
      <c r="S14" s="57"/>
      <c r="T14" s="58"/>
      <c r="U14" s="58"/>
      <c r="V14" s="58"/>
      <c r="W14" s="58"/>
      <c r="X14" s="58"/>
      <c r="Y14" s="58"/>
      <c r="Z14" s="58"/>
    </row>
    <row r="15" spans="1:26" ht="15.75" customHeight="1">
      <c r="A15" s="58"/>
      <c r="B15" s="58"/>
      <c r="C15" s="58"/>
      <c r="D15" s="58"/>
      <c r="E15" s="58"/>
      <c r="F15" s="58"/>
      <c r="G15" s="58"/>
      <c r="H15" s="58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8"/>
      <c r="U15" s="58"/>
      <c r="V15" s="58"/>
      <c r="W15" s="58"/>
      <c r="X15" s="58"/>
      <c r="Y15" s="58"/>
      <c r="Z15" s="58"/>
    </row>
    <row r="16" spans="1:26" ht="15.75" customHeight="1">
      <c r="A16" s="58"/>
      <c r="B16" s="58"/>
      <c r="C16" s="58"/>
      <c r="D16" s="58"/>
      <c r="E16" s="58"/>
      <c r="F16" s="58"/>
      <c r="G16" s="58"/>
      <c r="H16" s="58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8"/>
      <c r="U16" s="58"/>
      <c r="V16" s="58"/>
      <c r="W16" s="58"/>
      <c r="X16" s="58"/>
      <c r="Y16" s="58"/>
      <c r="Z16" s="58"/>
    </row>
    <row r="17" spans="1:26" ht="15.75" customHeight="1">
      <c r="A17" s="57" t="s">
        <v>188</v>
      </c>
      <c r="B17" s="57" t="s">
        <v>189</v>
      </c>
      <c r="C17" s="57"/>
      <c r="D17" s="58"/>
      <c r="E17" s="58"/>
      <c r="F17" s="58"/>
      <c r="G17" s="58"/>
      <c r="H17" s="58"/>
      <c r="I17" s="57"/>
      <c r="J17" s="134" t="s">
        <v>190</v>
      </c>
      <c r="K17" s="135" t="s">
        <v>191</v>
      </c>
      <c r="L17" s="57"/>
      <c r="M17" s="57"/>
      <c r="N17" s="57"/>
      <c r="O17" s="57"/>
      <c r="P17" s="57"/>
      <c r="Q17" s="57"/>
      <c r="R17" s="57"/>
      <c r="S17" s="57"/>
      <c r="T17" s="58"/>
      <c r="U17" s="58"/>
      <c r="V17" s="58"/>
      <c r="W17" s="58"/>
      <c r="X17" s="58"/>
      <c r="Y17" s="58"/>
      <c r="Z17" s="58"/>
    </row>
    <row r="18" spans="1:26" ht="15.75" customHeight="1">
      <c r="A18" s="57"/>
      <c r="B18" s="57" t="s">
        <v>192</v>
      </c>
      <c r="C18" s="57"/>
      <c r="D18" s="58"/>
      <c r="E18" s="58"/>
      <c r="F18" s="58"/>
      <c r="G18" s="58"/>
      <c r="H18" s="58"/>
      <c r="I18" s="57"/>
      <c r="J18" s="110"/>
      <c r="K18" s="110"/>
      <c r="L18" s="57"/>
      <c r="M18" s="57"/>
      <c r="N18" s="57"/>
      <c r="O18" s="57"/>
      <c r="P18" s="57"/>
      <c r="Q18" s="57"/>
      <c r="R18" s="57"/>
      <c r="S18" s="57"/>
      <c r="T18" s="58"/>
      <c r="U18" s="58"/>
      <c r="V18" s="58"/>
      <c r="W18" s="58"/>
      <c r="X18" s="58"/>
      <c r="Y18" s="58"/>
      <c r="Z18" s="58"/>
    </row>
    <row r="19" spans="1:26" ht="15.75" customHeight="1">
      <c r="A19" s="57"/>
      <c r="B19" s="93" t="s">
        <v>193</v>
      </c>
      <c r="C19" s="57"/>
      <c r="D19" s="58"/>
      <c r="E19" s="58"/>
      <c r="F19" s="58"/>
      <c r="G19" s="58"/>
      <c r="H19" s="58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8"/>
      <c r="U19" s="58"/>
      <c r="V19" s="58"/>
      <c r="W19" s="58"/>
      <c r="X19" s="58"/>
      <c r="Y19" s="58"/>
      <c r="Z19" s="58"/>
    </row>
    <row r="20" spans="1:26" ht="15.75" customHeight="1">
      <c r="A20" s="58"/>
      <c r="B20" s="58"/>
      <c r="C20" s="58"/>
      <c r="D20" s="58"/>
      <c r="E20" s="58"/>
      <c r="F20" s="58"/>
      <c r="G20" s="58"/>
      <c r="H20" s="58"/>
      <c r="I20" s="57"/>
      <c r="J20" s="132" t="s">
        <v>194</v>
      </c>
      <c r="K20" s="133">
        <f>(L11-N12)/(L10+1)</f>
        <v>28.440000000000008</v>
      </c>
      <c r="L20" s="57"/>
      <c r="M20" s="57"/>
      <c r="N20" s="57"/>
      <c r="O20" s="57"/>
      <c r="P20" s="57"/>
      <c r="Q20" s="57"/>
      <c r="R20" s="57"/>
      <c r="S20" s="57"/>
      <c r="T20" s="58"/>
      <c r="U20" s="58"/>
      <c r="V20" s="58"/>
      <c r="W20" s="58"/>
      <c r="X20" s="58"/>
      <c r="Y20" s="58"/>
      <c r="Z20" s="58"/>
    </row>
    <row r="21" spans="1:26" ht="15.75" customHeight="1">
      <c r="A21" s="58"/>
      <c r="B21" s="58"/>
      <c r="C21" s="58"/>
      <c r="D21" s="58"/>
      <c r="E21" s="58"/>
      <c r="F21" s="58"/>
      <c r="G21" s="58"/>
      <c r="H21" s="58"/>
      <c r="I21" s="57"/>
      <c r="J21" s="122"/>
      <c r="K21" s="124"/>
      <c r="L21" s="57"/>
      <c r="M21" s="57"/>
      <c r="N21" s="57"/>
      <c r="O21" s="57"/>
      <c r="P21" s="57"/>
      <c r="Q21" s="57"/>
      <c r="R21" s="57"/>
      <c r="S21" s="57"/>
      <c r="T21" s="58"/>
      <c r="U21" s="58"/>
      <c r="V21" s="58"/>
      <c r="W21" s="58"/>
      <c r="X21" s="58"/>
      <c r="Y21" s="58"/>
      <c r="Z21" s="58"/>
    </row>
    <row r="22" spans="1:26" ht="15.75" customHeight="1">
      <c r="A22" s="58"/>
      <c r="B22" s="58"/>
      <c r="C22" s="58"/>
      <c r="D22" s="58"/>
      <c r="E22" s="58"/>
      <c r="F22" s="58"/>
      <c r="G22" s="58"/>
      <c r="H22" s="58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8"/>
      <c r="U22" s="58"/>
      <c r="V22" s="58"/>
      <c r="W22" s="58"/>
      <c r="X22" s="58"/>
      <c r="Y22" s="58"/>
      <c r="Z22" s="58"/>
    </row>
    <row r="23" spans="1:26" ht="15.75" customHeight="1">
      <c r="A23" s="58"/>
      <c r="B23" s="58"/>
      <c r="C23" s="58"/>
      <c r="D23" s="58"/>
      <c r="E23" s="58"/>
      <c r="F23" s="58"/>
      <c r="G23" s="58"/>
      <c r="H23" s="58"/>
      <c r="I23" s="57"/>
      <c r="J23" s="57" t="s">
        <v>195</v>
      </c>
      <c r="K23" s="57"/>
      <c r="L23" s="57"/>
      <c r="M23" s="57"/>
      <c r="N23" s="57"/>
      <c r="O23" s="57"/>
      <c r="P23" s="57"/>
      <c r="Q23" s="57"/>
      <c r="R23" s="57"/>
      <c r="S23" s="57"/>
      <c r="T23" s="58"/>
      <c r="U23" s="58"/>
      <c r="V23" s="58"/>
      <c r="W23" s="58"/>
      <c r="X23" s="58"/>
      <c r="Y23" s="58"/>
      <c r="Z23" s="58"/>
    </row>
    <row r="24" spans="1:26" ht="15.75" customHeight="1">
      <c r="A24" s="58"/>
      <c r="B24" s="58"/>
      <c r="C24" s="58"/>
      <c r="D24" s="58"/>
      <c r="E24" s="58"/>
      <c r="F24" s="58"/>
      <c r="G24" s="58"/>
      <c r="H24" s="58"/>
      <c r="I24" s="57"/>
      <c r="J24" s="134" t="s">
        <v>196</v>
      </c>
      <c r="K24" s="135" t="s">
        <v>197</v>
      </c>
      <c r="L24" s="57"/>
      <c r="M24" s="57"/>
      <c r="N24" s="57"/>
      <c r="O24" s="57"/>
      <c r="P24" s="57"/>
      <c r="Q24" s="57"/>
      <c r="R24" s="57"/>
      <c r="S24" s="57"/>
      <c r="T24" s="58"/>
      <c r="U24" s="58"/>
      <c r="V24" s="58"/>
      <c r="W24" s="58"/>
      <c r="X24" s="58"/>
      <c r="Y24" s="58"/>
      <c r="Z24" s="58"/>
    </row>
    <row r="25" spans="1:26" ht="15.75" customHeight="1">
      <c r="A25" s="58"/>
      <c r="B25" s="58"/>
      <c r="C25" s="58"/>
      <c r="D25" s="58"/>
      <c r="E25" s="58"/>
      <c r="F25" s="58"/>
      <c r="G25" s="58"/>
      <c r="H25" s="58"/>
      <c r="I25" s="57"/>
      <c r="J25" s="110"/>
      <c r="K25" s="110"/>
      <c r="L25" s="57"/>
      <c r="M25" s="57"/>
      <c r="N25" s="57"/>
      <c r="O25" s="57"/>
      <c r="P25" s="57"/>
      <c r="Q25" s="57"/>
      <c r="R25" s="57"/>
      <c r="S25" s="57"/>
      <c r="T25" s="58"/>
      <c r="U25" s="58"/>
      <c r="V25" s="58"/>
      <c r="W25" s="58"/>
      <c r="X25" s="58"/>
      <c r="Y25" s="58"/>
      <c r="Z25" s="58"/>
    </row>
    <row r="26" spans="1:26" ht="15.75" customHeight="1">
      <c r="A26" s="58"/>
      <c r="B26" s="58"/>
      <c r="C26" s="58"/>
      <c r="D26" s="58"/>
      <c r="E26" s="58"/>
      <c r="F26" s="58"/>
      <c r="G26" s="58"/>
      <c r="H26" s="58"/>
      <c r="I26" s="57"/>
      <c r="J26" s="134" t="s">
        <v>196</v>
      </c>
      <c r="K26" s="135">
        <f>(L11-L14)/L11</f>
        <v>2.0000000000000039E-2</v>
      </c>
      <c r="L26" s="136"/>
      <c r="M26" s="57"/>
      <c r="N26" s="57"/>
      <c r="O26" s="57"/>
      <c r="P26" s="57"/>
      <c r="Q26" s="57"/>
      <c r="R26" s="57"/>
      <c r="S26" s="57"/>
      <c r="T26" s="58"/>
      <c r="U26" s="58"/>
      <c r="V26" s="58"/>
      <c r="W26" s="58"/>
      <c r="X26" s="58"/>
      <c r="Y26" s="58"/>
      <c r="Z26" s="58"/>
    </row>
    <row r="27" spans="1:26" ht="15.75" customHeight="1">
      <c r="A27" s="58"/>
      <c r="B27" s="58"/>
      <c r="C27" s="58"/>
      <c r="D27" s="58"/>
      <c r="E27" s="58"/>
      <c r="F27" s="58"/>
      <c r="G27" s="58"/>
      <c r="H27" s="58"/>
      <c r="I27" s="57"/>
      <c r="J27" s="110"/>
      <c r="K27" s="110"/>
      <c r="L27" s="110"/>
      <c r="M27" s="57"/>
      <c r="N27" s="57"/>
      <c r="O27" s="57"/>
      <c r="P27" s="57"/>
      <c r="Q27" s="57"/>
      <c r="R27" s="57"/>
      <c r="S27" s="57"/>
      <c r="T27" s="58"/>
      <c r="U27" s="58"/>
      <c r="V27" s="58"/>
      <c r="W27" s="58"/>
      <c r="X27" s="58"/>
      <c r="Y27" s="58"/>
      <c r="Z27" s="58"/>
    </row>
    <row r="28" spans="1:26" ht="15.75" customHeight="1">
      <c r="A28" s="58"/>
      <c r="B28" s="58"/>
      <c r="C28" s="58"/>
      <c r="D28" s="58"/>
      <c r="E28" s="58"/>
      <c r="F28" s="58"/>
      <c r="G28" s="58"/>
      <c r="H28" s="58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8"/>
      <c r="U28" s="58"/>
      <c r="V28" s="58"/>
      <c r="W28" s="58"/>
      <c r="X28" s="58"/>
      <c r="Y28" s="58"/>
      <c r="Z28" s="58"/>
    </row>
    <row r="29" spans="1:26" ht="15.75" customHeight="1">
      <c r="A29" s="58"/>
      <c r="B29" s="58"/>
      <c r="C29" s="58"/>
      <c r="D29" s="58"/>
      <c r="E29" s="58"/>
      <c r="F29" s="58"/>
      <c r="G29" s="58"/>
      <c r="H29" s="58"/>
      <c r="I29" s="57"/>
      <c r="J29" s="91" t="s">
        <v>198</v>
      </c>
      <c r="K29" s="92">
        <f>100*K26</f>
        <v>2.000000000000004</v>
      </c>
      <c r="L29" s="57"/>
      <c r="M29" s="57"/>
      <c r="N29" s="57"/>
      <c r="O29" s="57"/>
      <c r="P29" s="57"/>
      <c r="Q29" s="57"/>
      <c r="R29" s="57"/>
      <c r="S29" s="57"/>
      <c r="T29" s="58"/>
      <c r="U29" s="58"/>
      <c r="V29" s="58"/>
      <c r="W29" s="58"/>
      <c r="X29" s="58"/>
      <c r="Y29" s="58"/>
      <c r="Z29" s="58"/>
    </row>
    <row r="30" spans="1:26">
      <c r="A30" s="58"/>
      <c r="B30" s="58"/>
      <c r="C30" s="58"/>
      <c r="D30" s="58"/>
      <c r="E30" s="58"/>
      <c r="F30" s="58"/>
      <c r="G30" s="58"/>
      <c r="H30" s="58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8"/>
      <c r="U30" s="58"/>
      <c r="V30" s="58"/>
      <c r="W30" s="58"/>
      <c r="X30" s="58"/>
      <c r="Y30" s="58"/>
      <c r="Z30" s="58"/>
    </row>
    <row r="31" spans="1:26">
      <c r="A31" s="58"/>
      <c r="B31" s="58"/>
      <c r="C31" s="58"/>
      <c r="D31" s="58"/>
      <c r="E31" s="58"/>
      <c r="F31" s="58"/>
      <c r="G31" s="58"/>
      <c r="H31" s="58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8"/>
      <c r="U31" s="58"/>
      <c r="V31" s="58"/>
      <c r="W31" s="58"/>
      <c r="X31" s="58"/>
      <c r="Y31" s="58"/>
      <c r="Z31" s="58"/>
    </row>
    <row r="32" spans="1:26">
      <c r="A32" s="58"/>
      <c r="B32" s="58"/>
      <c r="C32" s="58"/>
      <c r="D32" s="58"/>
      <c r="E32" s="58"/>
      <c r="F32" s="58"/>
      <c r="G32" s="58"/>
      <c r="H32" s="58"/>
      <c r="I32" s="60" t="s">
        <v>199</v>
      </c>
      <c r="J32" s="137" t="s">
        <v>200</v>
      </c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58"/>
      <c r="V32" s="58"/>
      <c r="W32" s="58"/>
      <c r="X32" s="58"/>
      <c r="Y32" s="58"/>
      <c r="Z32" s="58"/>
    </row>
    <row r="33" spans="1:26">
      <c r="A33" s="58"/>
      <c r="B33" s="58"/>
      <c r="C33" s="58"/>
      <c r="D33" s="58"/>
      <c r="E33" s="58"/>
      <c r="F33" s="58"/>
      <c r="G33" s="58"/>
      <c r="H33" s="58"/>
      <c r="I33" s="60" t="s">
        <v>201</v>
      </c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58"/>
      <c r="V33" s="58"/>
      <c r="W33" s="58"/>
      <c r="X33" s="58"/>
      <c r="Y33" s="58"/>
      <c r="Z33" s="58"/>
    </row>
    <row r="34" spans="1:26">
      <c r="A34" s="58"/>
      <c r="B34" s="58"/>
      <c r="C34" s="58"/>
      <c r="D34" s="58"/>
      <c r="E34" s="58"/>
      <c r="F34" s="58"/>
      <c r="G34" s="58"/>
      <c r="H34" s="58"/>
      <c r="I34" s="57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58"/>
      <c r="V34" s="58"/>
      <c r="W34" s="58"/>
      <c r="X34" s="58"/>
      <c r="Y34" s="58"/>
      <c r="Z34" s="58"/>
    </row>
    <row r="35" spans="1:26">
      <c r="A35" s="58"/>
      <c r="B35" s="58"/>
      <c r="C35" s="58"/>
      <c r="D35" s="58"/>
      <c r="E35" s="58"/>
      <c r="F35" s="58"/>
      <c r="G35" s="58"/>
      <c r="H35" s="58"/>
      <c r="I35" s="57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58"/>
      <c r="V35" s="58"/>
      <c r="W35" s="58"/>
      <c r="X35" s="58"/>
      <c r="Y35" s="58"/>
      <c r="Z35" s="58"/>
    </row>
    <row r="36" spans="1:26">
      <c r="A36" s="58"/>
      <c r="B36" s="58"/>
      <c r="C36" s="58"/>
      <c r="D36" s="58"/>
      <c r="E36" s="58"/>
      <c r="F36" s="58"/>
      <c r="G36" s="58"/>
      <c r="H36" s="58"/>
      <c r="I36" s="57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58"/>
      <c r="V36" s="58"/>
      <c r="W36" s="58"/>
      <c r="X36" s="58"/>
      <c r="Y36" s="58"/>
      <c r="Z36" s="58"/>
    </row>
    <row r="37" spans="1:26">
      <c r="A37" s="58"/>
      <c r="B37" s="58"/>
      <c r="C37" s="58"/>
      <c r="D37" s="58"/>
      <c r="E37" s="58"/>
      <c r="F37" s="58"/>
      <c r="G37" s="58"/>
      <c r="H37" s="58"/>
      <c r="I37" s="57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58"/>
      <c r="V37" s="58"/>
      <c r="W37" s="58"/>
      <c r="X37" s="58"/>
      <c r="Y37" s="58"/>
      <c r="Z37" s="58"/>
    </row>
    <row r="38" spans="1:26">
      <c r="A38" s="58"/>
      <c r="B38" s="58"/>
      <c r="C38" s="58"/>
      <c r="D38" s="58"/>
      <c r="E38" s="58"/>
      <c r="F38" s="58"/>
      <c r="G38" s="58"/>
      <c r="H38" s="58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8"/>
      <c r="U38" s="58"/>
      <c r="V38" s="58"/>
      <c r="W38" s="58"/>
      <c r="X38" s="58"/>
      <c r="Y38" s="58"/>
      <c r="Z38" s="58"/>
    </row>
    <row r="39" spans="1:26">
      <c r="A39" s="58"/>
      <c r="B39" s="58"/>
      <c r="C39" s="58"/>
      <c r="D39" s="58"/>
      <c r="E39" s="58"/>
      <c r="F39" s="58"/>
      <c r="G39" s="58"/>
      <c r="H39" s="58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8"/>
      <c r="U39" s="58"/>
      <c r="V39" s="58"/>
      <c r="W39" s="58"/>
      <c r="X39" s="58"/>
      <c r="Y39" s="58"/>
      <c r="Z39" s="58"/>
    </row>
    <row r="40" spans="1:26">
      <c r="A40" s="58"/>
      <c r="B40" s="58"/>
      <c r="C40" s="58"/>
      <c r="D40" s="58"/>
      <c r="E40" s="58"/>
      <c r="F40" s="58"/>
      <c r="G40" s="58"/>
      <c r="H40" s="58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8"/>
      <c r="U40" s="58"/>
      <c r="V40" s="58"/>
      <c r="W40" s="58"/>
      <c r="X40" s="58"/>
      <c r="Y40" s="58"/>
      <c r="Z40" s="58"/>
    </row>
    <row r="41" spans="1:26">
      <c r="A41" s="58"/>
      <c r="B41" s="58"/>
      <c r="C41" s="58"/>
      <c r="D41" s="58"/>
      <c r="E41" s="58"/>
      <c r="F41" s="58"/>
      <c r="G41" s="58"/>
      <c r="H41" s="58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8"/>
      <c r="U41" s="58"/>
      <c r="V41" s="58"/>
      <c r="W41" s="58"/>
      <c r="X41" s="58"/>
      <c r="Y41" s="58"/>
      <c r="Z41" s="58"/>
    </row>
    <row r="42" spans="1:26">
      <c r="A42" s="58"/>
      <c r="B42" s="58"/>
      <c r="C42" s="58"/>
      <c r="D42" s="58"/>
      <c r="E42" s="58"/>
      <c r="F42" s="58"/>
      <c r="G42" s="58"/>
      <c r="H42" s="58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8"/>
      <c r="U42" s="58"/>
      <c r="V42" s="58"/>
      <c r="W42" s="58"/>
      <c r="X42" s="58"/>
      <c r="Y42" s="58"/>
      <c r="Z42" s="58"/>
    </row>
    <row r="43" spans="1:26">
      <c r="A43" s="58"/>
      <c r="B43" s="58"/>
      <c r="C43" s="58"/>
      <c r="D43" s="58"/>
      <c r="E43" s="58"/>
      <c r="F43" s="58"/>
      <c r="G43" s="58"/>
      <c r="H43" s="58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8"/>
      <c r="U43" s="58"/>
      <c r="V43" s="58"/>
      <c r="W43" s="58"/>
      <c r="X43" s="58"/>
      <c r="Y43" s="58"/>
      <c r="Z43" s="58"/>
    </row>
    <row r="44" spans="1:26">
      <c r="A44" s="58"/>
      <c r="B44" s="58"/>
      <c r="C44" s="58"/>
      <c r="D44" s="58"/>
      <c r="E44" s="58"/>
      <c r="F44" s="58"/>
      <c r="G44" s="58"/>
      <c r="H44" s="58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8"/>
      <c r="U44" s="58"/>
      <c r="V44" s="58"/>
      <c r="W44" s="58"/>
      <c r="X44" s="58"/>
      <c r="Y44" s="58"/>
      <c r="Z44" s="58"/>
    </row>
    <row r="45" spans="1:26">
      <c r="A45" s="58"/>
      <c r="B45" s="58"/>
      <c r="C45" s="58"/>
      <c r="D45" s="58"/>
      <c r="E45" s="58"/>
      <c r="F45" s="58"/>
      <c r="G45" s="58"/>
      <c r="H45" s="58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8"/>
      <c r="U45" s="58"/>
      <c r="V45" s="58"/>
      <c r="W45" s="58"/>
      <c r="X45" s="58"/>
      <c r="Y45" s="58"/>
      <c r="Z45" s="58"/>
    </row>
    <row r="46" spans="1:26">
      <c r="A46" s="58"/>
      <c r="B46" s="58"/>
      <c r="C46" s="58"/>
      <c r="D46" s="58"/>
      <c r="E46" s="58"/>
      <c r="F46" s="58"/>
      <c r="G46" s="58"/>
      <c r="H46" s="58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8"/>
      <c r="U46" s="58"/>
      <c r="V46" s="58"/>
      <c r="W46" s="58"/>
      <c r="X46" s="58"/>
      <c r="Y46" s="58"/>
      <c r="Z46" s="58"/>
    </row>
    <row r="47" spans="1:26">
      <c r="A47" s="58"/>
      <c r="B47" s="58"/>
      <c r="C47" s="58"/>
      <c r="D47" s="58"/>
      <c r="E47" s="58"/>
      <c r="F47" s="58"/>
      <c r="G47" s="58"/>
      <c r="H47" s="58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8"/>
      <c r="U47" s="58"/>
      <c r="V47" s="58"/>
      <c r="W47" s="58"/>
      <c r="X47" s="58"/>
      <c r="Y47" s="58"/>
      <c r="Z47" s="58"/>
    </row>
    <row r="48" spans="1:26">
      <c r="A48" s="58"/>
      <c r="B48" s="58"/>
      <c r="C48" s="58"/>
      <c r="D48" s="58"/>
      <c r="E48" s="58"/>
      <c r="F48" s="58"/>
      <c r="G48" s="58"/>
      <c r="H48" s="58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8"/>
      <c r="U48" s="58"/>
      <c r="V48" s="58"/>
      <c r="W48" s="58"/>
      <c r="X48" s="58"/>
      <c r="Y48" s="58"/>
      <c r="Z48" s="58"/>
    </row>
    <row r="49" spans="1:26">
      <c r="A49" s="58"/>
      <c r="B49" s="58"/>
      <c r="C49" s="58"/>
      <c r="D49" s="58"/>
      <c r="E49" s="58"/>
      <c r="F49" s="58"/>
      <c r="G49" s="58"/>
      <c r="H49" s="58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8"/>
      <c r="U49" s="58"/>
      <c r="V49" s="58"/>
      <c r="W49" s="58"/>
      <c r="X49" s="58"/>
      <c r="Y49" s="58"/>
      <c r="Z49" s="58"/>
    </row>
    <row r="50" spans="1:26">
      <c r="A50" s="58"/>
      <c r="B50" s="58"/>
      <c r="C50" s="58"/>
      <c r="D50" s="58"/>
      <c r="E50" s="58"/>
      <c r="F50" s="58"/>
      <c r="G50" s="58"/>
      <c r="H50" s="58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8"/>
      <c r="U50" s="58"/>
      <c r="V50" s="58"/>
      <c r="W50" s="58"/>
      <c r="X50" s="58"/>
      <c r="Y50" s="58"/>
      <c r="Z50" s="58"/>
    </row>
    <row r="51" spans="1:26">
      <c r="A51" s="58"/>
      <c r="B51" s="58"/>
      <c r="C51" s="58"/>
      <c r="D51" s="58"/>
      <c r="E51" s="58"/>
      <c r="F51" s="58"/>
      <c r="G51" s="58"/>
      <c r="H51" s="58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8"/>
      <c r="U51" s="58"/>
      <c r="V51" s="58"/>
      <c r="W51" s="58"/>
      <c r="X51" s="58"/>
      <c r="Y51" s="58"/>
      <c r="Z51" s="58"/>
    </row>
    <row r="52" spans="1:26">
      <c r="A52" s="58"/>
      <c r="B52" s="58"/>
      <c r="C52" s="58"/>
      <c r="D52" s="58"/>
      <c r="E52" s="58"/>
      <c r="F52" s="58"/>
      <c r="G52" s="58"/>
      <c r="H52" s="58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8"/>
      <c r="U52" s="58"/>
      <c r="V52" s="58"/>
      <c r="W52" s="58"/>
      <c r="X52" s="58"/>
      <c r="Y52" s="58"/>
      <c r="Z52" s="58"/>
    </row>
    <row r="53" spans="1:26">
      <c r="A53" s="58"/>
      <c r="B53" s="58"/>
      <c r="C53" s="58"/>
      <c r="D53" s="58"/>
      <c r="E53" s="58"/>
      <c r="F53" s="58"/>
      <c r="G53" s="58"/>
      <c r="H53" s="58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8"/>
      <c r="U53" s="58"/>
      <c r="V53" s="58"/>
      <c r="W53" s="58"/>
      <c r="X53" s="58"/>
      <c r="Y53" s="58"/>
      <c r="Z53" s="58"/>
    </row>
    <row r="54" spans="1:26">
      <c r="A54" s="58"/>
      <c r="B54" s="58"/>
      <c r="C54" s="58"/>
      <c r="D54" s="58"/>
      <c r="E54" s="58"/>
      <c r="F54" s="58"/>
      <c r="G54" s="58"/>
      <c r="H54" s="58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8"/>
      <c r="U54" s="58"/>
      <c r="V54" s="58"/>
      <c r="W54" s="58"/>
      <c r="X54" s="58"/>
      <c r="Y54" s="58"/>
      <c r="Z54" s="58"/>
    </row>
    <row r="55" spans="1:26">
      <c r="A55" s="58"/>
      <c r="B55" s="58"/>
      <c r="C55" s="58"/>
      <c r="D55" s="58"/>
      <c r="E55" s="58"/>
      <c r="F55" s="58"/>
      <c r="G55" s="58"/>
      <c r="H55" s="58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8"/>
      <c r="U55" s="58"/>
      <c r="V55" s="58"/>
      <c r="W55" s="58"/>
      <c r="X55" s="58"/>
      <c r="Y55" s="58"/>
      <c r="Z55" s="58"/>
    </row>
    <row r="56" spans="1:26">
      <c r="A56" s="58"/>
      <c r="B56" s="58"/>
      <c r="C56" s="58"/>
      <c r="D56" s="58"/>
      <c r="E56" s="58"/>
      <c r="F56" s="58"/>
      <c r="G56" s="58"/>
      <c r="H56" s="58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8"/>
      <c r="U56" s="58"/>
      <c r="V56" s="58"/>
      <c r="W56" s="58"/>
      <c r="X56" s="58"/>
      <c r="Y56" s="58"/>
      <c r="Z56" s="58"/>
    </row>
    <row r="57" spans="1:26">
      <c r="A57" s="58"/>
      <c r="B57" s="58"/>
      <c r="C57" s="58"/>
      <c r="D57" s="58"/>
      <c r="E57" s="58"/>
      <c r="F57" s="58"/>
      <c r="G57" s="58"/>
      <c r="H57" s="58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8"/>
      <c r="U57" s="58"/>
      <c r="V57" s="58"/>
      <c r="W57" s="58"/>
      <c r="X57" s="58"/>
      <c r="Y57" s="58"/>
      <c r="Z57" s="58"/>
    </row>
    <row r="58" spans="1:26">
      <c r="A58" s="58"/>
      <c r="B58" s="58"/>
      <c r="C58" s="58"/>
      <c r="D58" s="58"/>
      <c r="E58" s="58"/>
      <c r="F58" s="58"/>
      <c r="G58" s="58"/>
      <c r="H58" s="58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8"/>
      <c r="U58" s="58"/>
      <c r="V58" s="58"/>
      <c r="W58" s="58"/>
      <c r="X58" s="58"/>
      <c r="Y58" s="58"/>
      <c r="Z58" s="58"/>
    </row>
    <row r="59" spans="1:26">
      <c r="A59" s="58"/>
      <c r="B59" s="58"/>
      <c r="C59" s="58"/>
      <c r="D59" s="58"/>
      <c r="E59" s="58"/>
      <c r="F59" s="58"/>
      <c r="G59" s="58"/>
      <c r="H59" s="58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8"/>
      <c r="U59" s="58"/>
      <c r="V59" s="58"/>
      <c r="W59" s="58"/>
      <c r="X59" s="58"/>
      <c r="Y59" s="58"/>
      <c r="Z59" s="58"/>
    </row>
    <row r="60" spans="1:26">
      <c r="A60" s="58"/>
      <c r="B60" s="58"/>
      <c r="C60" s="58"/>
      <c r="D60" s="58"/>
      <c r="E60" s="58"/>
      <c r="F60" s="58"/>
      <c r="G60" s="58"/>
      <c r="H60" s="58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8"/>
      <c r="U60" s="58"/>
      <c r="V60" s="58"/>
      <c r="W60" s="58"/>
      <c r="X60" s="58"/>
      <c r="Y60" s="58"/>
      <c r="Z60" s="58"/>
    </row>
    <row r="61" spans="1:26">
      <c r="A61" s="58"/>
      <c r="B61" s="58"/>
      <c r="C61" s="58"/>
      <c r="D61" s="58"/>
      <c r="E61" s="58"/>
      <c r="F61" s="58"/>
      <c r="G61" s="58"/>
      <c r="H61" s="58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8"/>
      <c r="U61" s="58"/>
      <c r="V61" s="58"/>
      <c r="W61" s="58"/>
      <c r="X61" s="58"/>
      <c r="Y61" s="58"/>
      <c r="Z61" s="58"/>
    </row>
    <row r="62" spans="1:26">
      <c r="A62" s="58"/>
      <c r="B62" s="58"/>
      <c r="C62" s="58"/>
      <c r="D62" s="58"/>
      <c r="E62" s="58"/>
      <c r="F62" s="58"/>
      <c r="G62" s="58"/>
      <c r="H62" s="58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8"/>
      <c r="U62" s="58"/>
      <c r="V62" s="58"/>
      <c r="W62" s="58"/>
      <c r="X62" s="58"/>
      <c r="Y62" s="58"/>
      <c r="Z62" s="58"/>
    </row>
    <row r="63" spans="1:26">
      <c r="A63" s="58"/>
      <c r="B63" s="58"/>
      <c r="C63" s="58"/>
      <c r="D63" s="58"/>
      <c r="E63" s="58"/>
      <c r="F63" s="58"/>
      <c r="G63" s="58"/>
      <c r="H63" s="58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8"/>
      <c r="U63" s="58"/>
      <c r="V63" s="58"/>
      <c r="W63" s="58"/>
      <c r="X63" s="58"/>
      <c r="Y63" s="58"/>
      <c r="Z63" s="58"/>
    </row>
    <row r="64" spans="1:26">
      <c r="A64" s="58"/>
      <c r="B64" s="58"/>
      <c r="C64" s="58"/>
      <c r="D64" s="58"/>
      <c r="E64" s="58"/>
      <c r="F64" s="58"/>
      <c r="G64" s="58"/>
      <c r="H64" s="58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8"/>
      <c r="U64" s="58"/>
      <c r="V64" s="58"/>
      <c r="W64" s="58"/>
      <c r="X64" s="58"/>
      <c r="Y64" s="58"/>
      <c r="Z64" s="58"/>
    </row>
    <row r="65" spans="1:26">
      <c r="A65" s="58"/>
      <c r="B65" s="58"/>
      <c r="C65" s="58"/>
      <c r="D65" s="58"/>
      <c r="E65" s="58"/>
      <c r="F65" s="58"/>
      <c r="G65" s="58"/>
      <c r="H65" s="58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8"/>
      <c r="U65" s="58"/>
      <c r="V65" s="58"/>
      <c r="W65" s="58"/>
      <c r="X65" s="58"/>
      <c r="Y65" s="58"/>
      <c r="Z65" s="58"/>
    </row>
    <row r="66" spans="1:26">
      <c r="A66" s="58"/>
      <c r="B66" s="58"/>
      <c r="C66" s="58"/>
      <c r="D66" s="58"/>
      <c r="E66" s="58"/>
      <c r="F66" s="58"/>
      <c r="G66" s="58"/>
      <c r="H66" s="58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8"/>
      <c r="U66" s="58"/>
      <c r="V66" s="58"/>
      <c r="W66" s="58"/>
      <c r="X66" s="58"/>
      <c r="Y66" s="58"/>
      <c r="Z66" s="58"/>
    </row>
    <row r="67" spans="1:26">
      <c r="A67" s="58"/>
      <c r="B67" s="58"/>
      <c r="C67" s="58"/>
      <c r="D67" s="58"/>
      <c r="E67" s="58"/>
      <c r="F67" s="58"/>
      <c r="G67" s="58"/>
      <c r="H67" s="58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8"/>
      <c r="U67" s="58"/>
      <c r="V67" s="58"/>
      <c r="W67" s="58"/>
      <c r="X67" s="58"/>
      <c r="Y67" s="58"/>
      <c r="Z67" s="58"/>
    </row>
    <row r="68" spans="1:26">
      <c r="A68" s="58"/>
      <c r="B68" s="58"/>
      <c r="C68" s="58"/>
      <c r="D68" s="58"/>
      <c r="E68" s="58"/>
      <c r="F68" s="58"/>
      <c r="G68" s="58"/>
      <c r="H68" s="58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8"/>
      <c r="U68" s="58"/>
      <c r="V68" s="58"/>
      <c r="W68" s="58"/>
      <c r="X68" s="58"/>
      <c r="Y68" s="58"/>
      <c r="Z68" s="58"/>
    </row>
    <row r="69" spans="1:26">
      <c r="A69" s="58"/>
      <c r="B69" s="58"/>
      <c r="C69" s="58"/>
      <c r="D69" s="58"/>
      <c r="E69" s="58"/>
      <c r="F69" s="58"/>
      <c r="G69" s="58"/>
      <c r="H69" s="58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8"/>
      <c r="U69" s="58"/>
      <c r="V69" s="58"/>
      <c r="W69" s="58"/>
      <c r="X69" s="58"/>
      <c r="Y69" s="58"/>
      <c r="Z69" s="58"/>
    </row>
    <row r="70" spans="1:26">
      <c r="A70" s="58"/>
      <c r="B70" s="58"/>
      <c r="C70" s="58"/>
      <c r="D70" s="58"/>
      <c r="E70" s="58"/>
      <c r="F70" s="58"/>
      <c r="G70" s="58"/>
      <c r="H70" s="58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8"/>
      <c r="U70" s="58"/>
      <c r="V70" s="58"/>
      <c r="W70" s="58"/>
      <c r="X70" s="58"/>
      <c r="Y70" s="58"/>
      <c r="Z70" s="58"/>
    </row>
    <row r="71" spans="1:26">
      <c r="A71" s="58"/>
      <c r="B71" s="58"/>
      <c r="C71" s="58"/>
      <c r="D71" s="58"/>
      <c r="E71" s="58"/>
      <c r="F71" s="58"/>
      <c r="G71" s="58"/>
      <c r="H71" s="58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8"/>
      <c r="U71" s="58"/>
      <c r="V71" s="58"/>
      <c r="W71" s="58"/>
      <c r="X71" s="58"/>
      <c r="Y71" s="58"/>
      <c r="Z71" s="58"/>
    </row>
    <row r="72" spans="1:26">
      <c r="A72" s="58"/>
      <c r="B72" s="58"/>
      <c r="C72" s="58"/>
      <c r="D72" s="58"/>
      <c r="E72" s="58"/>
      <c r="F72" s="58"/>
      <c r="G72" s="58"/>
      <c r="H72" s="58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8"/>
      <c r="U72" s="58"/>
      <c r="V72" s="58"/>
      <c r="W72" s="58"/>
      <c r="X72" s="58"/>
      <c r="Y72" s="58"/>
      <c r="Z72" s="58"/>
    </row>
    <row r="73" spans="1:26">
      <c r="A73" s="58"/>
      <c r="B73" s="58"/>
      <c r="C73" s="58"/>
      <c r="D73" s="58"/>
      <c r="E73" s="58"/>
      <c r="F73" s="58"/>
      <c r="G73" s="58"/>
      <c r="H73" s="58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8"/>
      <c r="U73" s="58"/>
      <c r="V73" s="58"/>
      <c r="W73" s="58"/>
      <c r="X73" s="58"/>
      <c r="Y73" s="58"/>
      <c r="Z73" s="58"/>
    </row>
    <row r="74" spans="1:26">
      <c r="A74" s="58"/>
      <c r="B74" s="58"/>
      <c r="C74" s="58"/>
      <c r="D74" s="58"/>
      <c r="E74" s="58"/>
      <c r="F74" s="58"/>
      <c r="G74" s="58"/>
      <c r="H74" s="58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8"/>
      <c r="U74" s="58"/>
      <c r="V74" s="58"/>
      <c r="W74" s="58"/>
      <c r="X74" s="58"/>
      <c r="Y74" s="58"/>
      <c r="Z74" s="58"/>
    </row>
    <row r="75" spans="1:26">
      <c r="A75" s="58"/>
      <c r="B75" s="58"/>
      <c r="C75" s="58"/>
      <c r="D75" s="58"/>
      <c r="E75" s="58"/>
      <c r="F75" s="58"/>
      <c r="G75" s="58"/>
      <c r="H75" s="58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8"/>
      <c r="U75" s="58"/>
      <c r="V75" s="58"/>
      <c r="W75" s="58"/>
      <c r="X75" s="58"/>
      <c r="Y75" s="58"/>
      <c r="Z75" s="58"/>
    </row>
    <row r="76" spans="1:26">
      <c r="A76" s="58"/>
      <c r="B76" s="58"/>
      <c r="C76" s="58"/>
      <c r="D76" s="58"/>
      <c r="E76" s="58"/>
      <c r="F76" s="58"/>
      <c r="G76" s="58"/>
      <c r="H76" s="58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8"/>
      <c r="U76" s="58"/>
      <c r="V76" s="58"/>
      <c r="W76" s="58"/>
      <c r="X76" s="58"/>
      <c r="Y76" s="58"/>
      <c r="Z76" s="58"/>
    </row>
    <row r="77" spans="1:26">
      <c r="A77" s="58"/>
      <c r="B77" s="58"/>
      <c r="C77" s="58"/>
      <c r="D77" s="58"/>
      <c r="E77" s="58"/>
      <c r="F77" s="58"/>
      <c r="G77" s="58"/>
      <c r="H77" s="58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8"/>
      <c r="U77" s="58"/>
      <c r="V77" s="58"/>
      <c r="W77" s="58"/>
      <c r="X77" s="58"/>
      <c r="Y77" s="58"/>
      <c r="Z77" s="58"/>
    </row>
    <row r="78" spans="1:26">
      <c r="A78" s="58"/>
      <c r="B78" s="58"/>
      <c r="C78" s="58"/>
      <c r="D78" s="58"/>
      <c r="E78" s="58"/>
      <c r="F78" s="58"/>
      <c r="G78" s="58"/>
      <c r="H78" s="58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8"/>
      <c r="U78" s="58"/>
      <c r="V78" s="58"/>
      <c r="W78" s="58"/>
      <c r="X78" s="58"/>
      <c r="Y78" s="58"/>
      <c r="Z78" s="58"/>
    </row>
    <row r="79" spans="1:26">
      <c r="A79" s="58"/>
      <c r="B79" s="58"/>
      <c r="C79" s="58"/>
      <c r="D79" s="58"/>
      <c r="E79" s="58"/>
      <c r="F79" s="58"/>
      <c r="G79" s="58"/>
      <c r="H79" s="58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8"/>
      <c r="U79" s="58"/>
      <c r="V79" s="58"/>
      <c r="W79" s="58"/>
      <c r="X79" s="58"/>
      <c r="Y79" s="58"/>
      <c r="Z79" s="58"/>
    </row>
    <row r="80" spans="1:26">
      <c r="A80" s="58"/>
      <c r="B80" s="58"/>
      <c r="C80" s="58"/>
      <c r="D80" s="58"/>
      <c r="E80" s="58"/>
      <c r="F80" s="58"/>
      <c r="G80" s="58"/>
      <c r="H80" s="58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8"/>
      <c r="U80" s="58"/>
      <c r="V80" s="58"/>
      <c r="W80" s="58"/>
      <c r="X80" s="58"/>
      <c r="Y80" s="58"/>
      <c r="Z80" s="58"/>
    </row>
    <row r="81" spans="1:26">
      <c r="A81" s="58"/>
      <c r="B81" s="58"/>
      <c r="C81" s="58"/>
      <c r="D81" s="58"/>
      <c r="E81" s="58"/>
      <c r="F81" s="58"/>
      <c r="G81" s="58"/>
      <c r="H81" s="58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8"/>
      <c r="U81" s="58"/>
      <c r="V81" s="58"/>
      <c r="W81" s="58"/>
      <c r="X81" s="58"/>
      <c r="Y81" s="58"/>
      <c r="Z81" s="58"/>
    </row>
    <row r="82" spans="1:26">
      <c r="A82" s="58"/>
      <c r="B82" s="58"/>
      <c r="C82" s="58"/>
      <c r="D82" s="58"/>
      <c r="E82" s="58"/>
      <c r="F82" s="58"/>
      <c r="G82" s="58"/>
      <c r="H82" s="58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8"/>
      <c r="U82" s="58"/>
      <c r="V82" s="58"/>
      <c r="W82" s="58"/>
      <c r="X82" s="58"/>
      <c r="Y82" s="58"/>
      <c r="Z82" s="58"/>
    </row>
    <row r="83" spans="1:26">
      <c r="A83" s="58"/>
      <c r="B83" s="58"/>
      <c r="C83" s="58"/>
      <c r="D83" s="58"/>
      <c r="E83" s="58"/>
      <c r="F83" s="58"/>
      <c r="G83" s="58"/>
      <c r="H83" s="58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8"/>
      <c r="U83" s="58"/>
      <c r="V83" s="58"/>
      <c r="W83" s="58"/>
      <c r="X83" s="58"/>
      <c r="Y83" s="58"/>
      <c r="Z83" s="58"/>
    </row>
    <row r="84" spans="1:26">
      <c r="A84" s="58"/>
      <c r="B84" s="58"/>
      <c r="C84" s="58"/>
      <c r="D84" s="58"/>
      <c r="E84" s="58"/>
      <c r="F84" s="58"/>
      <c r="G84" s="58"/>
      <c r="H84" s="58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8"/>
      <c r="U84" s="58"/>
      <c r="V84" s="58"/>
      <c r="W84" s="58"/>
      <c r="X84" s="58"/>
      <c r="Y84" s="58"/>
      <c r="Z84" s="58"/>
    </row>
    <row r="85" spans="1:26">
      <c r="A85" s="58"/>
      <c r="B85" s="58"/>
      <c r="C85" s="58"/>
      <c r="D85" s="58"/>
      <c r="E85" s="58"/>
      <c r="F85" s="58"/>
      <c r="G85" s="58"/>
      <c r="H85" s="58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8"/>
      <c r="U85" s="58"/>
      <c r="V85" s="58"/>
      <c r="W85" s="58"/>
      <c r="X85" s="58"/>
      <c r="Y85" s="58"/>
      <c r="Z85" s="58"/>
    </row>
    <row r="86" spans="1:26">
      <c r="A86" s="58"/>
      <c r="B86" s="58"/>
      <c r="C86" s="58"/>
      <c r="D86" s="58"/>
      <c r="E86" s="58"/>
      <c r="F86" s="58"/>
      <c r="G86" s="58"/>
      <c r="H86" s="58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8"/>
      <c r="U86" s="58"/>
      <c r="V86" s="58"/>
      <c r="W86" s="58"/>
      <c r="X86" s="58"/>
      <c r="Y86" s="58"/>
      <c r="Z86" s="58"/>
    </row>
    <row r="87" spans="1:26">
      <c r="A87" s="58"/>
      <c r="B87" s="58"/>
      <c r="C87" s="58"/>
      <c r="D87" s="58"/>
      <c r="E87" s="58"/>
      <c r="F87" s="58"/>
      <c r="G87" s="58"/>
      <c r="H87" s="58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8"/>
      <c r="U87" s="58"/>
      <c r="V87" s="58"/>
      <c r="W87" s="58"/>
      <c r="X87" s="58"/>
      <c r="Y87" s="58"/>
      <c r="Z87" s="58"/>
    </row>
    <row r="88" spans="1:26">
      <c r="A88" s="58"/>
      <c r="B88" s="58"/>
      <c r="C88" s="58"/>
      <c r="D88" s="58"/>
      <c r="E88" s="58"/>
      <c r="F88" s="58"/>
      <c r="G88" s="58"/>
      <c r="H88" s="58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8"/>
      <c r="U88" s="58"/>
      <c r="V88" s="58"/>
      <c r="W88" s="58"/>
      <c r="X88" s="58"/>
      <c r="Y88" s="58"/>
      <c r="Z88" s="58"/>
    </row>
    <row r="89" spans="1:26">
      <c r="A89" s="58"/>
      <c r="B89" s="58"/>
      <c r="C89" s="58"/>
      <c r="D89" s="58"/>
      <c r="E89" s="58"/>
      <c r="F89" s="58"/>
      <c r="G89" s="58"/>
      <c r="H89" s="58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8"/>
      <c r="U89" s="58"/>
      <c r="V89" s="58"/>
      <c r="W89" s="58"/>
      <c r="X89" s="58"/>
      <c r="Y89" s="58"/>
      <c r="Z89" s="58"/>
    </row>
    <row r="90" spans="1:26">
      <c r="A90" s="58"/>
      <c r="B90" s="58"/>
      <c r="C90" s="58"/>
      <c r="D90" s="58"/>
      <c r="E90" s="58"/>
      <c r="F90" s="58"/>
      <c r="G90" s="58"/>
      <c r="H90" s="58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8"/>
      <c r="U90" s="58"/>
      <c r="V90" s="58"/>
      <c r="W90" s="58"/>
      <c r="X90" s="58"/>
      <c r="Y90" s="58"/>
      <c r="Z90" s="58"/>
    </row>
    <row r="91" spans="1:26">
      <c r="A91" s="58"/>
      <c r="B91" s="58"/>
      <c r="C91" s="58"/>
      <c r="D91" s="58"/>
      <c r="E91" s="58"/>
      <c r="F91" s="58"/>
      <c r="G91" s="58"/>
      <c r="H91" s="58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8"/>
      <c r="U91" s="58"/>
      <c r="V91" s="58"/>
      <c r="W91" s="58"/>
      <c r="X91" s="58"/>
      <c r="Y91" s="58"/>
      <c r="Z91" s="58"/>
    </row>
    <row r="92" spans="1:26">
      <c r="A92" s="58"/>
      <c r="B92" s="58"/>
      <c r="C92" s="58"/>
      <c r="D92" s="58"/>
      <c r="E92" s="58"/>
      <c r="F92" s="58"/>
      <c r="G92" s="58"/>
      <c r="H92" s="58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8"/>
      <c r="U92" s="58"/>
      <c r="V92" s="58"/>
      <c r="W92" s="58"/>
      <c r="X92" s="58"/>
      <c r="Y92" s="58"/>
      <c r="Z92" s="58"/>
    </row>
    <row r="93" spans="1:26">
      <c r="A93" s="58"/>
      <c r="B93" s="58"/>
      <c r="C93" s="58"/>
      <c r="D93" s="58"/>
      <c r="E93" s="58"/>
      <c r="F93" s="58"/>
      <c r="G93" s="58"/>
      <c r="H93" s="58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8"/>
      <c r="U93" s="58"/>
      <c r="V93" s="58"/>
      <c r="W93" s="58"/>
      <c r="X93" s="58"/>
      <c r="Y93" s="58"/>
      <c r="Z93" s="58"/>
    </row>
    <row r="94" spans="1:26">
      <c r="A94" s="58"/>
      <c r="B94" s="58"/>
      <c r="C94" s="58"/>
      <c r="D94" s="58"/>
      <c r="E94" s="58"/>
      <c r="F94" s="58"/>
      <c r="G94" s="58"/>
      <c r="H94" s="58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8"/>
      <c r="U94" s="58"/>
      <c r="V94" s="58"/>
      <c r="W94" s="58"/>
      <c r="X94" s="58"/>
      <c r="Y94" s="58"/>
      <c r="Z94" s="58"/>
    </row>
    <row r="95" spans="1:26">
      <c r="A95" s="58"/>
      <c r="B95" s="58"/>
      <c r="C95" s="58"/>
      <c r="D95" s="58"/>
      <c r="E95" s="58"/>
      <c r="F95" s="58"/>
      <c r="G95" s="58"/>
      <c r="H95" s="58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8"/>
      <c r="U95" s="58"/>
      <c r="V95" s="58"/>
      <c r="W95" s="58"/>
      <c r="X95" s="58"/>
      <c r="Y95" s="58"/>
      <c r="Z95" s="58"/>
    </row>
    <row r="96" spans="1:26">
      <c r="A96" s="58"/>
      <c r="B96" s="58"/>
      <c r="C96" s="58"/>
      <c r="D96" s="58"/>
      <c r="E96" s="58"/>
      <c r="F96" s="58"/>
      <c r="G96" s="58"/>
      <c r="H96" s="58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8"/>
      <c r="U96" s="58"/>
      <c r="V96" s="58"/>
      <c r="W96" s="58"/>
      <c r="X96" s="58"/>
      <c r="Y96" s="58"/>
      <c r="Z96" s="58"/>
    </row>
    <row r="97" spans="1:26">
      <c r="A97" s="58"/>
      <c r="B97" s="58"/>
      <c r="C97" s="58"/>
      <c r="D97" s="58"/>
      <c r="E97" s="58"/>
      <c r="F97" s="58"/>
      <c r="G97" s="58"/>
      <c r="H97" s="58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8"/>
      <c r="U97" s="58"/>
      <c r="V97" s="58"/>
      <c r="W97" s="58"/>
      <c r="X97" s="58"/>
      <c r="Y97" s="58"/>
      <c r="Z97" s="58"/>
    </row>
    <row r="98" spans="1:26">
      <c r="A98" s="58"/>
      <c r="B98" s="58"/>
      <c r="C98" s="58"/>
      <c r="D98" s="58"/>
      <c r="E98" s="58"/>
      <c r="F98" s="58"/>
      <c r="G98" s="58"/>
      <c r="H98" s="58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8"/>
      <c r="U98" s="58"/>
      <c r="V98" s="58"/>
      <c r="W98" s="58"/>
      <c r="X98" s="58"/>
      <c r="Y98" s="58"/>
      <c r="Z98" s="58"/>
    </row>
    <row r="99" spans="1:26">
      <c r="A99" s="58"/>
      <c r="B99" s="58"/>
      <c r="C99" s="58"/>
      <c r="D99" s="58"/>
      <c r="E99" s="58"/>
      <c r="F99" s="58"/>
      <c r="G99" s="58"/>
      <c r="H99" s="58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8"/>
      <c r="U99" s="58"/>
      <c r="V99" s="58"/>
      <c r="W99" s="58"/>
      <c r="X99" s="58"/>
      <c r="Y99" s="58"/>
      <c r="Z99" s="58"/>
    </row>
    <row r="100" spans="1:26">
      <c r="A100" s="58"/>
      <c r="B100" s="58"/>
      <c r="C100" s="58"/>
      <c r="D100" s="58"/>
      <c r="E100" s="58"/>
      <c r="F100" s="58"/>
      <c r="G100" s="58"/>
      <c r="H100" s="58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8"/>
      <c r="U100" s="58"/>
      <c r="V100" s="58"/>
      <c r="W100" s="58"/>
      <c r="X100" s="58"/>
      <c r="Y100" s="58"/>
      <c r="Z100" s="58"/>
    </row>
    <row r="101" spans="1:26">
      <c r="A101" s="58"/>
      <c r="B101" s="58"/>
      <c r="C101" s="58"/>
      <c r="D101" s="58"/>
      <c r="E101" s="58"/>
      <c r="F101" s="58"/>
      <c r="G101" s="58"/>
      <c r="H101" s="58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8"/>
      <c r="U101" s="58"/>
      <c r="V101" s="58"/>
      <c r="W101" s="58"/>
      <c r="X101" s="58"/>
      <c r="Y101" s="58"/>
      <c r="Z101" s="58"/>
    </row>
    <row r="102" spans="1:26">
      <c r="A102" s="58"/>
      <c r="B102" s="58"/>
      <c r="C102" s="58"/>
      <c r="D102" s="58"/>
      <c r="E102" s="58"/>
      <c r="F102" s="58"/>
      <c r="G102" s="58"/>
      <c r="H102" s="58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8"/>
      <c r="U102" s="58"/>
      <c r="V102" s="58"/>
      <c r="W102" s="58"/>
      <c r="X102" s="58"/>
      <c r="Y102" s="58"/>
      <c r="Z102" s="58"/>
    </row>
    <row r="103" spans="1:26">
      <c r="A103" s="58"/>
      <c r="B103" s="58"/>
      <c r="C103" s="58"/>
      <c r="D103" s="58"/>
      <c r="E103" s="58"/>
      <c r="F103" s="58"/>
      <c r="G103" s="58"/>
      <c r="H103" s="58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8"/>
      <c r="U103" s="58"/>
      <c r="V103" s="58"/>
      <c r="W103" s="58"/>
      <c r="X103" s="58"/>
      <c r="Y103" s="58"/>
      <c r="Z103" s="58"/>
    </row>
    <row r="104" spans="1:26">
      <c r="A104" s="58"/>
      <c r="B104" s="58"/>
      <c r="C104" s="58"/>
      <c r="D104" s="58"/>
      <c r="E104" s="58"/>
      <c r="F104" s="58"/>
      <c r="G104" s="58"/>
      <c r="H104" s="58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8"/>
      <c r="U104" s="58"/>
      <c r="V104" s="58"/>
      <c r="W104" s="58"/>
      <c r="X104" s="58"/>
      <c r="Y104" s="58"/>
      <c r="Z104" s="58"/>
    </row>
    <row r="105" spans="1:26">
      <c r="A105" s="58"/>
      <c r="B105" s="58"/>
      <c r="C105" s="58"/>
      <c r="D105" s="58"/>
      <c r="E105" s="58"/>
      <c r="F105" s="58"/>
      <c r="G105" s="58"/>
      <c r="H105" s="58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8"/>
      <c r="U105" s="58"/>
      <c r="V105" s="58"/>
      <c r="W105" s="58"/>
      <c r="X105" s="58"/>
      <c r="Y105" s="58"/>
      <c r="Z105" s="58"/>
    </row>
    <row r="106" spans="1:26">
      <c r="A106" s="58"/>
      <c r="B106" s="58"/>
      <c r="C106" s="58"/>
      <c r="D106" s="58"/>
      <c r="E106" s="58"/>
      <c r="F106" s="58"/>
      <c r="G106" s="58"/>
      <c r="H106" s="58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8"/>
      <c r="U106" s="58"/>
      <c r="V106" s="58"/>
      <c r="W106" s="58"/>
      <c r="X106" s="58"/>
      <c r="Y106" s="58"/>
      <c r="Z106" s="58"/>
    </row>
    <row r="107" spans="1:26">
      <c r="A107" s="58"/>
      <c r="B107" s="58"/>
      <c r="C107" s="58"/>
      <c r="D107" s="58"/>
      <c r="E107" s="58"/>
      <c r="F107" s="58"/>
      <c r="G107" s="58"/>
      <c r="H107" s="58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8"/>
      <c r="U107" s="58"/>
      <c r="V107" s="58"/>
      <c r="W107" s="58"/>
      <c r="X107" s="58"/>
      <c r="Y107" s="58"/>
      <c r="Z107" s="58"/>
    </row>
    <row r="108" spans="1:26">
      <c r="A108" s="58"/>
      <c r="B108" s="58"/>
      <c r="C108" s="58"/>
      <c r="D108" s="58"/>
      <c r="E108" s="58"/>
      <c r="F108" s="58"/>
      <c r="G108" s="58"/>
      <c r="H108" s="58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8"/>
      <c r="U108" s="58"/>
      <c r="V108" s="58"/>
      <c r="W108" s="58"/>
      <c r="X108" s="58"/>
      <c r="Y108" s="58"/>
      <c r="Z108" s="58"/>
    </row>
    <row r="109" spans="1:26">
      <c r="A109" s="58"/>
      <c r="B109" s="58"/>
      <c r="C109" s="58"/>
      <c r="D109" s="58"/>
      <c r="E109" s="58"/>
      <c r="F109" s="58"/>
      <c r="G109" s="58"/>
      <c r="H109" s="58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8"/>
      <c r="U109" s="58"/>
      <c r="V109" s="58"/>
      <c r="W109" s="58"/>
      <c r="X109" s="58"/>
      <c r="Y109" s="58"/>
      <c r="Z109" s="58"/>
    </row>
    <row r="110" spans="1:26">
      <c r="A110" s="58"/>
      <c r="B110" s="58"/>
      <c r="C110" s="58"/>
      <c r="D110" s="58"/>
      <c r="E110" s="58"/>
      <c r="F110" s="58"/>
      <c r="G110" s="58"/>
      <c r="H110" s="58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8"/>
      <c r="U110" s="58"/>
      <c r="V110" s="58"/>
      <c r="W110" s="58"/>
      <c r="X110" s="58"/>
      <c r="Y110" s="58"/>
      <c r="Z110" s="58"/>
    </row>
    <row r="111" spans="1:26">
      <c r="A111" s="58"/>
      <c r="B111" s="58"/>
      <c r="C111" s="58"/>
      <c r="D111" s="58"/>
      <c r="E111" s="58"/>
      <c r="F111" s="58"/>
      <c r="G111" s="58"/>
      <c r="H111" s="58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8"/>
      <c r="U111" s="58"/>
      <c r="V111" s="58"/>
      <c r="W111" s="58"/>
      <c r="X111" s="58"/>
      <c r="Y111" s="58"/>
      <c r="Z111" s="58"/>
    </row>
    <row r="112" spans="1:26">
      <c r="A112" s="58"/>
      <c r="B112" s="58"/>
      <c r="C112" s="58"/>
      <c r="D112" s="58"/>
      <c r="E112" s="58"/>
      <c r="F112" s="58"/>
      <c r="G112" s="58"/>
      <c r="H112" s="58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8"/>
      <c r="U112" s="58"/>
      <c r="V112" s="58"/>
      <c r="W112" s="58"/>
      <c r="X112" s="58"/>
      <c r="Y112" s="58"/>
      <c r="Z112" s="58"/>
    </row>
    <row r="113" spans="1:26">
      <c r="A113" s="58"/>
      <c r="B113" s="58"/>
      <c r="C113" s="58"/>
      <c r="D113" s="58"/>
      <c r="E113" s="58"/>
      <c r="F113" s="58"/>
      <c r="G113" s="58"/>
      <c r="H113" s="58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8"/>
      <c r="U113" s="58"/>
      <c r="V113" s="58"/>
      <c r="W113" s="58"/>
      <c r="X113" s="58"/>
      <c r="Y113" s="58"/>
      <c r="Z113" s="58"/>
    </row>
    <row r="114" spans="1:26">
      <c r="A114" s="58"/>
      <c r="B114" s="58"/>
      <c r="C114" s="58"/>
      <c r="D114" s="58"/>
      <c r="E114" s="58"/>
      <c r="F114" s="58"/>
      <c r="G114" s="58"/>
      <c r="H114" s="58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8"/>
      <c r="U114" s="58"/>
      <c r="V114" s="58"/>
      <c r="W114" s="58"/>
      <c r="X114" s="58"/>
      <c r="Y114" s="58"/>
      <c r="Z114" s="58"/>
    </row>
    <row r="115" spans="1:26">
      <c r="A115" s="58"/>
      <c r="B115" s="58"/>
      <c r="C115" s="58"/>
      <c r="D115" s="58"/>
      <c r="E115" s="58"/>
      <c r="F115" s="58"/>
      <c r="G115" s="58"/>
      <c r="H115" s="58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8"/>
      <c r="U115" s="58"/>
      <c r="V115" s="58"/>
      <c r="W115" s="58"/>
      <c r="X115" s="58"/>
      <c r="Y115" s="58"/>
      <c r="Z115" s="58"/>
    </row>
    <row r="116" spans="1:26">
      <c r="A116" s="58"/>
      <c r="B116" s="58"/>
      <c r="C116" s="58"/>
      <c r="D116" s="58"/>
      <c r="E116" s="58"/>
      <c r="F116" s="58"/>
      <c r="G116" s="58"/>
      <c r="H116" s="58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8"/>
      <c r="U116" s="58"/>
      <c r="V116" s="58"/>
      <c r="W116" s="58"/>
      <c r="X116" s="58"/>
      <c r="Y116" s="58"/>
      <c r="Z116" s="58"/>
    </row>
    <row r="117" spans="1:26">
      <c r="A117" s="58"/>
      <c r="B117" s="58"/>
      <c r="C117" s="58"/>
      <c r="D117" s="58"/>
      <c r="E117" s="58"/>
      <c r="F117" s="58"/>
      <c r="G117" s="58"/>
      <c r="H117" s="58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8"/>
      <c r="U117" s="58"/>
      <c r="V117" s="58"/>
      <c r="W117" s="58"/>
      <c r="X117" s="58"/>
      <c r="Y117" s="58"/>
      <c r="Z117" s="58"/>
    </row>
    <row r="118" spans="1:26">
      <c r="A118" s="58"/>
      <c r="B118" s="58"/>
      <c r="C118" s="58"/>
      <c r="D118" s="58"/>
      <c r="E118" s="58"/>
      <c r="F118" s="58"/>
      <c r="G118" s="58"/>
      <c r="H118" s="58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8"/>
      <c r="U118" s="58"/>
      <c r="V118" s="58"/>
      <c r="W118" s="58"/>
      <c r="X118" s="58"/>
      <c r="Y118" s="58"/>
      <c r="Z118" s="58"/>
    </row>
    <row r="119" spans="1:26">
      <c r="A119" s="58"/>
      <c r="B119" s="58"/>
      <c r="C119" s="58"/>
      <c r="D119" s="58"/>
      <c r="E119" s="58"/>
      <c r="F119" s="58"/>
      <c r="G119" s="58"/>
      <c r="H119" s="58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8"/>
      <c r="U119" s="58"/>
      <c r="V119" s="58"/>
      <c r="W119" s="58"/>
      <c r="X119" s="58"/>
      <c r="Y119" s="58"/>
      <c r="Z119" s="58"/>
    </row>
    <row r="120" spans="1:26">
      <c r="A120" s="58"/>
      <c r="B120" s="58"/>
      <c r="C120" s="58"/>
      <c r="D120" s="58"/>
      <c r="E120" s="58"/>
      <c r="F120" s="58"/>
      <c r="G120" s="58"/>
      <c r="H120" s="58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8"/>
      <c r="U120" s="58"/>
      <c r="V120" s="58"/>
      <c r="W120" s="58"/>
      <c r="X120" s="58"/>
      <c r="Y120" s="58"/>
      <c r="Z120" s="58"/>
    </row>
    <row r="121" spans="1:26">
      <c r="A121" s="58"/>
      <c r="B121" s="58"/>
      <c r="C121" s="58"/>
      <c r="D121" s="58"/>
      <c r="E121" s="58"/>
      <c r="F121" s="58"/>
      <c r="G121" s="58"/>
      <c r="H121" s="58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8"/>
      <c r="U121" s="58"/>
      <c r="V121" s="58"/>
      <c r="W121" s="58"/>
      <c r="X121" s="58"/>
      <c r="Y121" s="58"/>
      <c r="Z121" s="58"/>
    </row>
    <row r="122" spans="1:26">
      <c r="A122" s="58"/>
      <c r="B122" s="58"/>
      <c r="C122" s="58"/>
      <c r="D122" s="58"/>
      <c r="E122" s="58"/>
      <c r="F122" s="58"/>
      <c r="G122" s="58"/>
      <c r="H122" s="58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8"/>
      <c r="U122" s="58"/>
      <c r="V122" s="58"/>
      <c r="W122" s="58"/>
      <c r="X122" s="58"/>
      <c r="Y122" s="58"/>
      <c r="Z122" s="58"/>
    </row>
    <row r="123" spans="1:26">
      <c r="A123" s="58"/>
      <c r="B123" s="58"/>
      <c r="C123" s="58"/>
      <c r="D123" s="58"/>
      <c r="E123" s="58"/>
      <c r="F123" s="58"/>
      <c r="G123" s="58"/>
      <c r="H123" s="58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8"/>
      <c r="U123" s="58"/>
      <c r="V123" s="58"/>
      <c r="W123" s="58"/>
      <c r="X123" s="58"/>
      <c r="Y123" s="58"/>
      <c r="Z123" s="58"/>
    </row>
    <row r="124" spans="1:26">
      <c r="A124" s="58"/>
      <c r="B124" s="58"/>
      <c r="C124" s="58"/>
      <c r="D124" s="58"/>
      <c r="E124" s="58"/>
      <c r="F124" s="58"/>
      <c r="G124" s="58"/>
      <c r="H124" s="58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8"/>
      <c r="U124" s="58"/>
      <c r="V124" s="58"/>
      <c r="W124" s="58"/>
      <c r="X124" s="58"/>
      <c r="Y124" s="58"/>
      <c r="Z124" s="58"/>
    </row>
    <row r="125" spans="1:26">
      <c r="A125" s="58"/>
      <c r="B125" s="58"/>
      <c r="C125" s="58"/>
      <c r="D125" s="58"/>
      <c r="E125" s="58"/>
      <c r="F125" s="58"/>
      <c r="G125" s="58"/>
      <c r="H125" s="58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8"/>
      <c r="U125" s="58"/>
      <c r="V125" s="58"/>
      <c r="W125" s="58"/>
      <c r="X125" s="58"/>
      <c r="Y125" s="58"/>
      <c r="Z125" s="58"/>
    </row>
    <row r="126" spans="1:26">
      <c r="A126" s="58"/>
      <c r="B126" s="58"/>
      <c r="C126" s="58"/>
      <c r="D126" s="58"/>
      <c r="E126" s="58"/>
      <c r="F126" s="58"/>
      <c r="G126" s="58"/>
      <c r="H126" s="58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8"/>
      <c r="U126" s="58"/>
      <c r="V126" s="58"/>
      <c r="W126" s="58"/>
      <c r="X126" s="58"/>
      <c r="Y126" s="58"/>
      <c r="Z126" s="58"/>
    </row>
    <row r="127" spans="1:26">
      <c r="A127" s="58"/>
      <c r="B127" s="58"/>
      <c r="C127" s="58"/>
      <c r="D127" s="58"/>
      <c r="E127" s="58"/>
      <c r="F127" s="58"/>
      <c r="G127" s="58"/>
      <c r="H127" s="58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8"/>
      <c r="U127" s="58"/>
      <c r="V127" s="58"/>
      <c r="W127" s="58"/>
      <c r="X127" s="58"/>
      <c r="Y127" s="58"/>
      <c r="Z127" s="58"/>
    </row>
    <row r="128" spans="1:26">
      <c r="A128" s="58"/>
      <c r="B128" s="58"/>
      <c r="C128" s="58"/>
      <c r="D128" s="58"/>
      <c r="E128" s="58"/>
      <c r="F128" s="58"/>
      <c r="G128" s="58"/>
      <c r="H128" s="58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8"/>
      <c r="U128" s="58"/>
      <c r="V128" s="58"/>
      <c r="W128" s="58"/>
      <c r="X128" s="58"/>
      <c r="Y128" s="58"/>
      <c r="Z128" s="58"/>
    </row>
    <row r="129" spans="1:26">
      <c r="A129" s="58"/>
      <c r="B129" s="58"/>
      <c r="C129" s="58"/>
      <c r="D129" s="58"/>
      <c r="E129" s="58"/>
      <c r="F129" s="58"/>
      <c r="G129" s="58"/>
      <c r="H129" s="58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8"/>
      <c r="U129" s="58"/>
      <c r="V129" s="58"/>
      <c r="W129" s="58"/>
      <c r="X129" s="58"/>
      <c r="Y129" s="58"/>
      <c r="Z129" s="58"/>
    </row>
    <row r="130" spans="1:26">
      <c r="A130" s="58"/>
      <c r="B130" s="58"/>
      <c r="C130" s="58"/>
      <c r="D130" s="58"/>
      <c r="E130" s="58"/>
      <c r="F130" s="58"/>
      <c r="G130" s="58"/>
      <c r="H130" s="58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8"/>
      <c r="U130" s="58"/>
      <c r="V130" s="58"/>
      <c r="W130" s="58"/>
      <c r="X130" s="58"/>
      <c r="Y130" s="58"/>
      <c r="Z130" s="58"/>
    </row>
    <row r="131" spans="1:26">
      <c r="A131" s="58"/>
      <c r="B131" s="58"/>
      <c r="C131" s="58"/>
      <c r="D131" s="58"/>
      <c r="E131" s="58"/>
      <c r="F131" s="58"/>
      <c r="G131" s="58"/>
      <c r="H131" s="58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8"/>
      <c r="U131" s="58"/>
      <c r="V131" s="58"/>
      <c r="W131" s="58"/>
      <c r="X131" s="58"/>
      <c r="Y131" s="58"/>
      <c r="Z131" s="58"/>
    </row>
    <row r="132" spans="1:26">
      <c r="A132" s="58"/>
      <c r="B132" s="58"/>
      <c r="C132" s="58"/>
      <c r="D132" s="58"/>
      <c r="E132" s="58"/>
      <c r="F132" s="58"/>
      <c r="G132" s="58"/>
      <c r="H132" s="58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8"/>
      <c r="U132" s="58"/>
      <c r="V132" s="58"/>
      <c r="W132" s="58"/>
      <c r="X132" s="58"/>
      <c r="Y132" s="58"/>
      <c r="Z132" s="58"/>
    </row>
    <row r="133" spans="1:26">
      <c r="A133" s="58"/>
      <c r="B133" s="58"/>
      <c r="C133" s="58"/>
      <c r="D133" s="58"/>
      <c r="E133" s="58"/>
      <c r="F133" s="58"/>
      <c r="G133" s="58"/>
      <c r="H133" s="58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8"/>
      <c r="U133" s="58"/>
      <c r="V133" s="58"/>
      <c r="W133" s="58"/>
      <c r="X133" s="58"/>
      <c r="Y133" s="58"/>
      <c r="Z133" s="58"/>
    </row>
    <row r="134" spans="1:26">
      <c r="A134" s="58"/>
      <c r="B134" s="58"/>
      <c r="C134" s="58"/>
      <c r="D134" s="58"/>
      <c r="E134" s="58"/>
      <c r="F134" s="58"/>
      <c r="G134" s="58"/>
      <c r="H134" s="58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8"/>
      <c r="U134" s="58"/>
      <c r="V134" s="58"/>
      <c r="W134" s="58"/>
      <c r="X134" s="58"/>
      <c r="Y134" s="58"/>
      <c r="Z134" s="58"/>
    </row>
    <row r="135" spans="1:26">
      <c r="A135" s="58"/>
      <c r="B135" s="58"/>
      <c r="C135" s="58"/>
      <c r="D135" s="58"/>
      <c r="E135" s="58"/>
      <c r="F135" s="58"/>
      <c r="G135" s="58"/>
      <c r="H135" s="58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8"/>
      <c r="U135" s="58"/>
      <c r="V135" s="58"/>
      <c r="W135" s="58"/>
      <c r="X135" s="58"/>
      <c r="Y135" s="58"/>
      <c r="Z135" s="58"/>
    </row>
    <row r="136" spans="1:26">
      <c r="A136" s="58"/>
      <c r="B136" s="58"/>
      <c r="C136" s="58"/>
      <c r="D136" s="58"/>
      <c r="E136" s="58"/>
      <c r="F136" s="58"/>
      <c r="G136" s="58"/>
      <c r="H136" s="58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8"/>
      <c r="U136" s="58"/>
      <c r="V136" s="58"/>
      <c r="W136" s="58"/>
      <c r="X136" s="58"/>
      <c r="Y136" s="58"/>
      <c r="Z136" s="58"/>
    </row>
    <row r="137" spans="1:26">
      <c r="A137" s="58"/>
      <c r="B137" s="58"/>
      <c r="C137" s="58"/>
      <c r="D137" s="58"/>
      <c r="E137" s="58"/>
      <c r="F137" s="58"/>
      <c r="G137" s="58"/>
      <c r="H137" s="58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8"/>
      <c r="U137" s="58"/>
      <c r="V137" s="58"/>
      <c r="W137" s="58"/>
      <c r="X137" s="58"/>
      <c r="Y137" s="58"/>
      <c r="Z137" s="58"/>
    </row>
    <row r="138" spans="1:26">
      <c r="A138" s="58"/>
      <c r="B138" s="58"/>
      <c r="C138" s="58"/>
      <c r="D138" s="58"/>
      <c r="E138" s="58"/>
      <c r="F138" s="58"/>
      <c r="G138" s="58"/>
      <c r="H138" s="58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8"/>
      <c r="U138" s="58"/>
      <c r="V138" s="58"/>
      <c r="W138" s="58"/>
      <c r="X138" s="58"/>
      <c r="Y138" s="58"/>
      <c r="Z138" s="58"/>
    </row>
    <row r="139" spans="1:26">
      <c r="A139" s="58"/>
      <c r="B139" s="58"/>
      <c r="C139" s="58"/>
      <c r="D139" s="58"/>
      <c r="E139" s="58"/>
      <c r="F139" s="58"/>
      <c r="G139" s="58"/>
      <c r="H139" s="58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8"/>
      <c r="U139" s="58"/>
      <c r="V139" s="58"/>
      <c r="W139" s="58"/>
      <c r="X139" s="58"/>
      <c r="Y139" s="58"/>
      <c r="Z139" s="58"/>
    </row>
    <row r="140" spans="1:26">
      <c r="A140" s="58"/>
      <c r="B140" s="58"/>
      <c r="C140" s="58"/>
      <c r="D140" s="58"/>
      <c r="E140" s="58"/>
      <c r="F140" s="58"/>
      <c r="G140" s="58"/>
      <c r="H140" s="58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8"/>
      <c r="U140" s="58"/>
      <c r="V140" s="58"/>
      <c r="W140" s="58"/>
      <c r="X140" s="58"/>
      <c r="Y140" s="58"/>
      <c r="Z140" s="58"/>
    </row>
    <row r="141" spans="1:26">
      <c r="A141" s="58"/>
      <c r="B141" s="58"/>
      <c r="C141" s="58"/>
      <c r="D141" s="58"/>
      <c r="E141" s="58"/>
      <c r="F141" s="58"/>
      <c r="G141" s="58"/>
      <c r="H141" s="58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8"/>
      <c r="U141" s="58"/>
      <c r="V141" s="58"/>
      <c r="W141" s="58"/>
      <c r="X141" s="58"/>
      <c r="Y141" s="58"/>
      <c r="Z141" s="58"/>
    </row>
    <row r="142" spans="1:26">
      <c r="A142" s="58"/>
      <c r="B142" s="58"/>
      <c r="C142" s="58"/>
      <c r="D142" s="58"/>
      <c r="E142" s="58"/>
      <c r="F142" s="58"/>
      <c r="G142" s="58"/>
      <c r="H142" s="58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8"/>
      <c r="U142" s="58"/>
      <c r="V142" s="58"/>
      <c r="W142" s="58"/>
      <c r="X142" s="58"/>
      <c r="Y142" s="58"/>
      <c r="Z142" s="58"/>
    </row>
    <row r="143" spans="1:26">
      <c r="A143" s="58"/>
      <c r="B143" s="58"/>
      <c r="C143" s="58"/>
      <c r="D143" s="58"/>
      <c r="E143" s="58"/>
      <c r="F143" s="58"/>
      <c r="G143" s="58"/>
      <c r="H143" s="58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8"/>
      <c r="U143" s="58"/>
      <c r="V143" s="58"/>
      <c r="W143" s="58"/>
      <c r="X143" s="58"/>
      <c r="Y143" s="58"/>
      <c r="Z143" s="58"/>
    </row>
    <row r="144" spans="1:26">
      <c r="A144" s="58"/>
      <c r="B144" s="58"/>
      <c r="C144" s="58"/>
      <c r="D144" s="58"/>
      <c r="E144" s="58"/>
      <c r="F144" s="58"/>
      <c r="G144" s="58"/>
      <c r="H144" s="58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8"/>
      <c r="U144" s="58"/>
      <c r="V144" s="58"/>
      <c r="W144" s="58"/>
      <c r="X144" s="58"/>
      <c r="Y144" s="58"/>
      <c r="Z144" s="58"/>
    </row>
    <row r="145" spans="1:26">
      <c r="A145" s="58"/>
      <c r="B145" s="58"/>
      <c r="C145" s="58"/>
      <c r="D145" s="58"/>
      <c r="E145" s="58"/>
      <c r="F145" s="58"/>
      <c r="G145" s="58"/>
      <c r="H145" s="58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8"/>
      <c r="U145" s="58"/>
      <c r="V145" s="58"/>
      <c r="W145" s="58"/>
      <c r="X145" s="58"/>
      <c r="Y145" s="58"/>
      <c r="Z145" s="58"/>
    </row>
    <row r="146" spans="1:26">
      <c r="A146" s="58"/>
      <c r="B146" s="58"/>
      <c r="C146" s="58"/>
      <c r="D146" s="58"/>
      <c r="E146" s="58"/>
      <c r="F146" s="58"/>
      <c r="G146" s="58"/>
      <c r="H146" s="58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8"/>
      <c r="U146" s="58"/>
      <c r="V146" s="58"/>
      <c r="W146" s="58"/>
      <c r="X146" s="58"/>
      <c r="Y146" s="58"/>
      <c r="Z146" s="58"/>
    </row>
    <row r="147" spans="1:26">
      <c r="A147" s="58"/>
      <c r="B147" s="58"/>
      <c r="C147" s="58"/>
      <c r="D147" s="58"/>
      <c r="E147" s="58"/>
      <c r="F147" s="58"/>
      <c r="G147" s="58"/>
      <c r="H147" s="58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8"/>
      <c r="U147" s="58"/>
      <c r="V147" s="58"/>
      <c r="W147" s="58"/>
      <c r="X147" s="58"/>
      <c r="Y147" s="58"/>
      <c r="Z147" s="58"/>
    </row>
    <row r="148" spans="1:26">
      <c r="A148" s="58"/>
      <c r="B148" s="58"/>
      <c r="C148" s="58"/>
      <c r="D148" s="58"/>
      <c r="E148" s="58"/>
      <c r="F148" s="58"/>
      <c r="G148" s="58"/>
      <c r="H148" s="58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8"/>
      <c r="U148" s="58"/>
      <c r="V148" s="58"/>
      <c r="W148" s="58"/>
      <c r="X148" s="58"/>
      <c r="Y148" s="58"/>
      <c r="Z148" s="58"/>
    </row>
    <row r="149" spans="1:26">
      <c r="A149" s="58"/>
      <c r="B149" s="58"/>
      <c r="C149" s="58"/>
      <c r="D149" s="58"/>
      <c r="E149" s="58"/>
      <c r="F149" s="58"/>
      <c r="G149" s="58"/>
      <c r="H149" s="58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8"/>
      <c r="U149" s="58"/>
      <c r="V149" s="58"/>
      <c r="W149" s="58"/>
      <c r="X149" s="58"/>
      <c r="Y149" s="58"/>
      <c r="Z149" s="58"/>
    </row>
    <row r="150" spans="1:26">
      <c r="A150" s="58"/>
      <c r="B150" s="58"/>
      <c r="C150" s="58"/>
      <c r="D150" s="58"/>
      <c r="E150" s="58"/>
      <c r="F150" s="58"/>
      <c r="G150" s="58"/>
      <c r="H150" s="58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8"/>
      <c r="U150" s="58"/>
      <c r="V150" s="58"/>
      <c r="W150" s="58"/>
      <c r="X150" s="58"/>
      <c r="Y150" s="58"/>
      <c r="Z150" s="58"/>
    </row>
    <row r="151" spans="1:26">
      <c r="A151" s="58"/>
      <c r="B151" s="58"/>
      <c r="C151" s="58"/>
      <c r="D151" s="58"/>
      <c r="E151" s="58"/>
      <c r="F151" s="58"/>
      <c r="G151" s="58"/>
      <c r="H151" s="58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8"/>
      <c r="U151" s="58"/>
      <c r="V151" s="58"/>
      <c r="W151" s="58"/>
      <c r="X151" s="58"/>
      <c r="Y151" s="58"/>
      <c r="Z151" s="58"/>
    </row>
    <row r="152" spans="1:26">
      <c r="A152" s="58"/>
      <c r="B152" s="58"/>
      <c r="C152" s="58"/>
      <c r="D152" s="58"/>
      <c r="E152" s="58"/>
      <c r="F152" s="58"/>
      <c r="G152" s="58"/>
      <c r="H152" s="58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8"/>
      <c r="U152" s="58"/>
      <c r="V152" s="58"/>
      <c r="W152" s="58"/>
      <c r="X152" s="58"/>
      <c r="Y152" s="58"/>
      <c r="Z152" s="58"/>
    </row>
    <row r="153" spans="1:26">
      <c r="A153" s="58"/>
      <c r="B153" s="58"/>
      <c r="C153" s="58"/>
      <c r="D153" s="58"/>
      <c r="E153" s="58"/>
      <c r="F153" s="58"/>
      <c r="G153" s="58"/>
      <c r="H153" s="58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8"/>
      <c r="U153" s="58"/>
      <c r="V153" s="58"/>
      <c r="W153" s="58"/>
      <c r="X153" s="58"/>
      <c r="Y153" s="58"/>
      <c r="Z153" s="58"/>
    </row>
    <row r="154" spans="1:26">
      <c r="A154" s="58"/>
      <c r="B154" s="58"/>
      <c r="C154" s="58"/>
      <c r="D154" s="58"/>
      <c r="E154" s="58"/>
      <c r="F154" s="58"/>
      <c r="G154" s="58"/>
      <c r="H154" s="58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8"/>
      <c r="U154" s="58"/>
      <c r="V154" s="58"/>
      <c r="W154" s="58"/>
      <c r="X154" s="58"/>
      <c r="Y154" s="58"/>
      <c r="Z154" s="58"/>
    </row>
    <row r="155" spans="1:26">
      <c r="A155" s="58"/>
      <c r="B155" s="58"/>
      <c r="C155" s="58"/>
      <c r="D155" s="58"/>
      <c r="E155" s="58"/>
      <c r="F155" s="58"/>
      <c r="G155" s="58"/>
      <c r="H155" s="58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8"/>
      <c r="U155" s="58"/>
      <c r="V155" s="58"/>
      <c r="W155" s="58"/>
      <c r="X155" s="58"/>
      <c r="Y155" s="58"/>
      <c r="Z155" s="58"/>
    </row>
    <row r="156" spans="1:26">
      <c r="A156" s="58"/>
      <c r="B156" s="58"/>
      <c r="C156" s="58"/>
      <c r="D156" s="58"/>
      <c r="E156" s="58"/>
      <c r="F156" s="58"/>
      <c r="G156" s="58"/>
      <c r="H156" s="58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8"/>
      <c r="U156" s="58"/>
      <c r="V156" s="58"/>
      <c r="W156" s="58"/>
      <c r="X156" s="58"/>
      <c r="Y156" s="58"/>
      <c r="Z156" s="58"/>
    </row>
    <row r="157" spans="1:26">
      <c r="A157" s="58"/>
      <c r="B157" s="58"/>
      <c r="C157" s="58"/>
      <c r="D157" s="58"/>
      <c r="E157" s="58"/>
      <c r="F157" s="58"/>
      <c r="G157" s="58"/>
      <c r="H157" s="58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8"/>
      <c r="U157" s="58"/>
      <c r="V157" s="58"/>
      <c r="W157" s="58"/>
      <c r="X157" s="58"/>
      <c r="Y157" s="58"/>
      <c r="Z157" s="58"/>
    </row>
    <row r="158" spans="1:26">
      <c r="A158" s="58"/>
      <c r="B158" s="58"/>
      <c r="C158" s="58"/>
      <c r="D158" s="58"/>
      <c r="E158" s="58"/>
      <c r="F158" s="58"/>
      <c r="G158" s="58"/>
      <c r="H158" s="58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8"/>
      <c r="U158" s="58"/>
      <c r="V158" s="58"/>
      <c r="W158" s="58"/>
      <c r="X158" s="58"/>
      <c r="Y158" s="58"/>
      <c r="Z158" s="58"/>
    </row>
    <row r="159" spans="1:26">
      <c r="A159" s="58"/>
      <c r="B159" s="58"/>
      <c r="C159" s="58"/>
      <c r="D159" s="58"/>
      <c r="E159" s="58"/>
      <c r="F159" s="58"/>
      <c r="G159" s="58"/>
      <c r="H159" s="58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8"/>
      <c r="U159" s="58"/>
      <c r="V159" s="58"/>
      <c r="W159" s="58"/>
      <c r="X159" s="58"/>
      <c r="Y159" s="58"/>
      <c r="Z159" s="58"/>
    </row>
    <row r="160" spans="1:26">
      <c r="A160" s="58"/>
      <c r="B160" s="58"/>
      <c r="C160" s="58"/>
      <c r="D160" s="58"/>
      <c r="E160" s="58"/>
      <c r="F160" s="58"/>
      <c r="G160" s="58"/>
      <c r="H160" s="58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8"/>
      <c r="U160" s="58"/>
      <c r="V160" s="58"/>
      <c r="W160" s="58"/>
      <c r="X160" s="58"/>
      <c r="Y160" s="58"/>
      <c r="Z160" s="58"/>
    </row>
    <row r="161" spans="1:26">
      <c r="A161" s="58"/>
      <c r="B161" s="58"/>
      <c r="C161" s="58"/>
      <c r="D161" s="58"/>
      <c r="E161" s="58"/>
      <c r="F161" s="58"/>
      <c r="G161" s="58"/>
      <c r="H161" s="58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8"/>
      <c r="U161" s="58"/>
      <c r="V161" s="58"/>
      <c r="W161" s="58"/>
      <c r="X161" s="58"/>
      <c r="Y161" s="58"/>
      <c r="Z161" s="58"/>
    </row>
    <row r="162" spans="1:26">
      <c r="A162" s="58"/>
      <c r="B162" s="58"/>
      <c r="C162" s="58"/>
      <c r="D162" s="58"/>
      <c r="E162" s="58"/>
      <c r="F162" s="58"/>
      <c r="G162" s="58"/>
      <c r="H162" s="58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8"/>
      <c r="U162" s="58"/>
      <c r="V162" s="58"/>
      <c r="W162" s="58"/>
      <c r="X162" s="58"/>
      <c r="Y162" s="58"/>
      <c r="Z162" s="58"/>
    </row>
    <row r="163" spans="1:26">
      <c r="A163" s="58"/>
      <c r="B163" s="58"/>
      <c r="C163" s="58"/>
      <c r="D163" s="58"/>
      <c r="E163" s="58"/>
      <c r="F163" s="58"/>
      <c r="G163" s="58"/>
      <c r="H163" s="58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8"/>
      <c r="U163" s="58"/>
      <c r="V163" s="58"/>
      <c r="W163" s="58"/>
      <c r="X163" s="58"/>
      <c r="Y163" s="58"/>
      <c r="Z163" s="58"/>
    </row>
    <row r="164" spans="1:26">
      <c r="A164" s="58"/>
      <c r="B164" s="58"/>
      <c r="C164" s="58"/>
      <c r="D164" s="58"/>
      <c r="E164" s="58"/>
      <c r="F164" s="58"/>
      <c r="G164" s="58"/>
      <c r="H164" s="58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8"/>
      <c r="U164" s="58"/>
      <c r="V164" s="58"/>
      <c r="W164" s="58"/>
      <c r="X164" s="58"/>
      <c r="Y164" s="58"/>
      <c r="Z164" s="58"/>
    </row>
    <row r="165" spans="1:26">
      <c r="A165" s="58"/>
      <c r="B165" s="58"/>
      <c r="C165" s="58"/>
      <c r="D165" s="58"/>
      <c r="E165" s="58"/>
      <c r="F165" s="58"/>
      <c r="G165" s="58"/>
      <c r="H165" s="58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8"/>
      <c r="U165" s="58"/>
      <c r="V165" s="58"/>
      <c r="W165" s="58"/>
      <c r="X165" s="58"/>
      <c r="Y165" s="58"/>
      <c r="Z165" s="58"/>
    </row>
    <row r="166" spans="1:26">
      <c r="A166" s="58"/>
      <c r="B166" s="58"/>
      <c r="C166" s="58"/>
      <c r="D166" s="58"/>
      <c r="E166" s="58"/>
      <c r="F166" s="58"/>
      <c r="G166" s="58"/>
      <c r="H166" s="58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8"/>
      <c r="U166" s="58"/>
      <c r="V166" s="58"/>
      <c r="W166" s="58"/>
      <c r="X166" s="58"/>
      <c r="Y166" s="58"/>
      <c r="Z166" s="58"/>
    </row>
    <row r="167" spans="1:26">
      <c r="A167" s="58"/>
      <c r="B167" s="58"/>
      <c r="C167" s="58"/>
      <c r="D167" s="58"/>
      <c r="E167" s="58"/>
      <c r="F167" s="58"/>
      <c r="G167" s="58"/>
      <c r="H167" s="58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8"/>
      <c r="U167" s="58"/>
      <c r="V167" s="58"/>
      <c r="W167" s="58"/>
      <c r="X167" s="58"/>
      <c r="Y167" s="58"/>
      <c r="Z167" s="58"/>
    </row>
    <row r="168" spans="1:26">
      <c r="A168" s="58"/>
      <c r="B168" s="58"/>
      <c r="C168" s="58"/>
      <c r="D168" s="58"/>
      <c r="E168" s="58"/>
      <c r="F168" s="58"/>
      <c r="G168" s="58"/>
      <c r="H168" s="58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8"/>
      <c r="U168" s="58"/>
      <c r="V168" s="58"/>
      <c r="W168" s="58"/>
      <c r="X168" s="58"/>
      <c r="Y168" s="58"/>
      <c r="Z168" s="58"/>
    </row>
    <row r="169" spans="1:26">
      <c r="A169" s="58"/>
      <c r="B169" s="58"/>
      <c r="C169" s="58"/>
      <c r="D169" s="58"/>
      <c r="E169" s="58"/>
      <c r="F169" s="58"/>
      <c r="G169" s="58"/>
      <c r="H169" s="58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8"/>
      <c r="U169" s="58"/>
      <c r="V169" s="58"/>
      <c r="W169" s="58"/>
      <c r="X169" s="58"/>
      <c r="Y169" s="58"/>
      <c r="Z169" s="58"/>
    </row>
    <row r="170" spans="1:26">
      <c r="A170" s="58"/>
      <c r="B170" s="58"/>
      <c r="C170" s="58"/>
      <c r="D170" s="58"/>
      <c r="E170" s="58"/>
      <c r="F170" s="58"/>
      <c r="G170" s="58"/>
      <c r="H170" s="58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8"/>
      <c r="U170" s="58"/>
      <c r="V170" s="58"/>
      <c r="W170" s="58"/>
      <c r="X170" s="58"/>
      <c r="Y170" s="58"/>
      <c r="Z170" s="58"/>
    </row>
    <row r="171" spans="1:26">
      <c r="A171" s="58"/>
      <c r="B171" s="58"/>
      <c r="C171" s="58"/>
      <c r="D171" s="58"/>
      <c r="E171" s="58"/>
      <c r="F171" s="58"/>
      <c r="G171" s="58"/>
      <c r="H171" s="58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8"/>
      <c r="U171" s="58"/>
      <c r="V171" s="58"/>
      <c r="W171" s="58"/>
      <c r="X171" s="58"/>
      <c r="Y171" s="58"/>
      <c r="Z171" s="58"/>
    </row>
    <row r="172" spans="1:26">
      <c r="A172" s="58"/>
      <c r="B172" s="58"/>
      <c r="C172" s="58"/>
      <c r="D172" s="58"/>
      <c r="E172" s="58"/>
      <c r="F172" s="58"/>
      <c r="G172" s="58"/>
      <c r="H172" s="58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8"/>
      <c r="U172" s="58"/>
      <c r="V172" s="58"/>
      <c r="W172" s="58"/>
      <c r="X172" s="58"/>
      <c r="Y172" s="58"/>
      <c r="Z172" s="58"/>
    </row>
    <row r="173" spans="1:26">
      <c r="A173" s="58"/>
      <c r="B173" s="58"/>
      <c r="C173" s="58"/>
      <c r="D173" s="58"/>
      <c r="E173" s="58"/>
      <c r="F173" s="58"/>
      <c r="G173" s="58"/>
      <c r="H173" s="58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8"/>
      <c r="U173" s="58"/>
      <c r="V173" s="58"/>
      <c r="W173" s="58"/>
      <c r="X173" s="58"/>
      <c r="Y173" s="58"/>
      <c r="Z173" s="58"/>
    </row>
    <row r="174" spans="1:26">
      <c r="A174" s="58"/>
      <c r="B174" s="58"/>
      <c r="C174" s="58"/>
      <c r="D174" s="58"/>
      <c r="E174" s="58"/>
      <c r="F174" s="58"/>
      <c r="G174" s="58"/>
      <c r="H174" s="58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8"/>
      <c r="U174" s="58"/>
      <c r="V174" s="58"/>
      <c r="W174" s="58"/>
      <c r="X174" s="58"/>
      <c r="Y174" s="58"/>
      <c r="Z174" s="58"/>
    </row>
    <row r="175" spans="1:26">
      <c r="A175" s="58"/>
      <c r="B175" s="58"/>
      <c r="C175" s="58"/>
      <c r="D175" s="58"/>
      <c r="E175" s="58"/>
      <c r="F175" s="58"/>
      <c r="G175" s="58"/>
      <c r="H175" s="58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8"/>
      <c r="U175" s="58"/>
      <c r="V175" s="58"/>
      <c r="W175" s="58"/>
      <c r="X175" s="58"/>
      <c r="Y175" s="58"/>
      <c r="Z175" s="58"/>
    </row>
    <row r="176" spans="1:26">
      <c r="A176" s="58"/>
      <c r="B176" s="58"/>
      <c r="C176" s="58"/>
      <c r="D176" s="58"/>
      <c r="E176" s="58"/>
      <c r="F176" s="58"/>
      <c r="G176" s="58"/>
      <c r="H176" s="58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8"/>
      <c r="U176" s="58"/>
      <c r="V176" s="58"/>
      <c r="W176" s="58"/>
      <c r="X176" s="58"/>
      <c r="Y176" s="58"/>
      <c r="Z176" s="58"/>
    </row>
    <row r="177" spans="1:26">
      <c r="A177" s="58"/>
      <c r="B177" s="58"/>
      <c r="C177" s="58"/>
      <c r="D177" s="58"/>
      <c r="E177" s="58"/>
      <c r="F177" s="58"/>
      <c r="G177" s="58"/>
      <c r="H177" s="58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8"/>
      <c r="U177" s="58"/>
      <c r="V177" s="58"/>
      <c r="W177" s="58"/>
      <c r="X177" s="58"/>
      <c r="Y177" s="58"/>
      <c r="Z177" s="58"/>
    </row>
    <row r="178" spans="1:26">
      <c r="A178" s="58"/>
      <c r="B178" s="58"/>
      <c r="C178" s="58"/>
      <c r="D178" s="58"/>
      <c r="E178" s="58"/>
      <c r="F178" s="58"/>
      <c r="G178" s="58"/>
      <c r="H178" s="58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8"/>
      <c r="U178" s="58"/>
      <c r="V178" s="58"/>
      <c r="W178" s="58"/>
      <c r="X178" s="58"/>
      <c r="Y178" s="58"/>
      <c r="Z178" s="58"/>
    </row>
    <row r="179" spans="1:26">
      <c r="A179" s="58"/>
      <c r="B179" s="58"/>
      <c r="C179" s="58"/>
      <c r="D179" s="58"/>
      <c r="E179" s="58"/>
      <c r="F179" s="58"/>
      <c r="G179" s="58"/>
      <c r="H179" s="58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8"/>
      <c r="U179" s="58"/>
      <c r="V179" s="58"/>
      <c r="W179" s="58"/>
      <c r="X179" s="58"/>
      <c r="Y179" s="58"/>
      <c r="Z179" s="58"/>
    </row>
    <row r="180" spans="1:26">
      <c r="A180" s="58"/>
      <c r="B180" s="58"/>
      <c r="C180" s="58"/>
      <c r="D180" s="58"/>
      <c r="E180" s="58"/>
      <c r="F180" s="58"/>
      <c r="G180" s="58"/>
      <c r="H180" s="58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8"/>
      <c r="U180" s="58"/>
      <c r="V180" s="58"/>
      <c r="W180" s="58"/>
      <c r="X180" s="58"/>
      <c r="Y180" s="58"/>
      <c r="Z180" s="58"/>
    </row>
    <row r="181" spans="1:26">
      <c r="A181" s="58"/>
      <c r="B181" s="58"/>
      <c r="C181" s="58"/>
      <c r="D181" s="58"/>
      <c r="E181" s="58"/>
      <c r="F181" s="58"/>
      <c r="G181" s="58"/>
      <c r="H181" s="58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8"/>
      <c r="U181" s="58"/>
      <c r="V181" s="58"/>
      <c r="W181" s="58"/>
      <c r="X181" s="58"/>
      <c r="Y181" s="58"/>
      <c r="Z181" s="58"/>
    </row>
    <row r="182" spans="1:26">
      <c r="A182" s="58"/>
      <c r="B182" s="58"/>
      <c r="C182" s="58"/>
      <c r="D182" s="58"/>
      <c r="E182" s="58"/>
      <c r="F182" s="58"/>
      <c r="G182" s="58"/>
      <c r="H182" s="58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8"/>
      <c r="U182" s="58"/>
      <c r="V182" s="58"/>
      <c r="W182" s="58"/>
      <c r="X182" s="58"/>
      <c r="Y182" s="58"/>
      <c r="Z182" s="58"/>
    </row>
    <row r="183" spans="1:26">
      <c r="A183" s="58"/>
      <c r="B183" s="58"/>
      <c r="C183" s="58"/>
      <c r="D183" s="58"/>
      <c r="E183" s="58"/>
      <c r="F183" s="58"/>
      <c r="G183" s="58"/>
      <c r="H183" s="58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8"/>
      <c r="U183" s="58"/>
      <c r="V183" s="58"/>
      <c r="W183" s="58"/>
      <c r="X183" s="58"/>
      <c r="Y183" s="58"/>
      <c r="Z183" s="58"/>
    </row>
    <row r="184" spans="1:26">
      <c r="A184" s="58"/>
      <c r="B184" s="58"/>
      <c r="C184" s="58"/>
      <c r="D184" s="58"/>
      <c r="E184" s="58"/>
      <c r="F184" s="58"/>
      <c r="G184" s="58"/>
      <c r="H184" s="58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8"/>
      <c r="U184" s="58"/>
      <c r="V184" s="58"/>
      <c r="W184" s="58"/>
      <c r="X184" s="58"/>
      <c r="Y184" s="58"/>
      <c r="Z184" s="58"/>
    </row>
    <row r="185" spans="1:26">
      <c r="A185" s="58"/>
      <c r="B185" s="58"/>
      <c r="C185" s="58"/>
      <c r="D185" s="58"/>
      <c r="E185" s="58"/>
      <c r="F185" s="58"/>
      <c r="G185" s="58"/>
      <c r="H185" s="58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8"/>
      <c r="U185" s="58"/>
      <c r="V185" s="58"/>
      <c r="W185" s="58"/>
      <c r="X185" s="58"/>
      <c r="Y185" s="58"/>
      <c r="Z185" s="58"/>
    </row>
    <row r="186" spans="1:26">
      <c r="A186" s="58"/>
      <c r="B186" s="58"/>
      <c r="C186" s="58"/>
      <c r="D186" s="58"/>
      <c r="E186" s="58"/>
      <c r="F186" s="58"/>
      <c r="G186" s="58"/>
      <c r="H186" s="58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8"/>
      <c r="U186" s="58"/>
      <c r="V186" s="58"/>
      <c r="W186" s="58"/>
      <c r="X186" s="58"/>
      <c r="Y186" s="58"/>
      <c r="Z186" s="58"/>
    </row>
    <row r="187" spans="1:26">
      <c r="A187" s="58"/>
      <c r="B187" s="58"/>
      <c r="C187" s="58"/>
      <c r="D187" s="58"/>
      <c r="E187" s="58"/>
      <c r="F187" s="58"/>
      <c r="G187" s="58"/>
      <c r="H187" s="58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8"/>
      <c r="U187" s="58"/>
      <c r="V187" s="58"/>
      <c r="W187" s="58"/>
      <c r="X187" s="58"/>
      <c r="Y187" s="58"/>
      <c r="Z187" s="58"/>
    </row>
    <row r="188" spans="1:26">
      <c r="A188" s="58"/>
      <c r="B188" s="58"/>
      <c r="C188" s="58"/>
      <c r="D188" s="58"/>
      <c r="E188" s="58"/>
      <c r="F188" s="58"/>
      <c r="G188" s="58"/>
      <c r="H188" s="58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8"/>
      <c r="U188" s="58"/>
      <c r="V188" s="58"/>
      <c r="W188" s="58"/>
      <c r="X188" s="58"/>
      <c r="Y188" s="58"/>
      <c r="Z188" s="58"/>
    </row>
    <row r="189" spans="1:26">
      <c r="A189" s="58"/>
      <c r="B189" s="58"/>
      <c r="C189" s="58"/>
      <c r="D189" s="58"/>
      <c r="E189" s="58"/>
      <c r="F189" s="58"/>
      <c r="G189" s="58"/>
      <c r="H189" s="58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8"/>
      <c r="U189" s="58"/>
      <c r="V189" s="58"/>
      <c r="W189" s="58"/>
      <c r="X189" s="58"/>
      <c r="Y189" s="58"/>
      <c r="Z189" s="58"/>
    </row>
    <row r="190" spans="1:26">
      <c r="A190" s="58"/>
      <c r="B190" s="58"/>
      <c r="C190" s="58"/>
      <c r="D190" s="58"/>
      <c r="E190" s="58"/>
      <c r="F190" s="58"/>
      <c r="G190" s="58"/>
      <c r="H190" s="58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8"/>
      <c r="U190" s="58"/>
      <c r="V190" s="58"/>
      <c r="W190" s="58"/>
      <c r="X190" s="58"/>
      <c r="Y190" s="58"/>
      <c r="Z190" s="58"/>
    </row>
    <row r="191" spans="1:26">
      <c r="A191" s="58"/>
      <c r="B191" s="58"/>
      <c r="C191" s="58"/>
      <c r="D191" s="58"/>
      <c r="E191" s="58"/>
      <c r="F191" s="58"/>
      <c r="G191" s="58"/>
      <c r="H191" s="58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8"/>
      <c r="U191" s="58"/>
      <c r="V191" s="58"/>
      <c r="W191" s="58"/>
      <c r="X191" s="58"/>
      <c r="Y191" s="58"/>
      <c r="Z191" s="58"/>
    </row>
    <row r="192" spans="1:26">
      <c r="A192" s="58"/>
      <c r="B192" s="58"/>
      <c r="C192" s="58"/>
      <c r="D192" s="58"/>
      <c r="E192" s="58"/>
      <c r="F192" s="58"/>
      <c r="G192" s="58"/>
      <c r="H192" s="58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8"/>
      <c r="U192" s="58"/>
      <c r="V192" s="58"/>
      <c r="W192" s="58"/>
      <c r="X192" s="58"/>
      <c r="Y192" s="58"/>
      <c r="Z192" s="58"/>
    </row>
    <row r="193" spans="1:26">
      <c r="A193" s="58"/>
      <c r="B193" s="58"/>
      <c r="C193" s="58"/>
      <c r="D193" s="58"/>
      <c r="E193" s="58"/>
      <c r="F193" s="58"/>
      <c r="G193" s="58"/>
      <c r="H193" s="58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8"/>
      <c r="U193" s="58"/>
      <c r="V193" s="58"/>
      <c r="W193" s="58"/>
      <c r="X193" s="58"/>
      <c r="Y193" s="58"/>
      <c r="Z193" s="58"/>
    </row>
    <row r="194" spans="1:26">
      <c r="A194" s="58"/>
      <c r="B194" s="58"/>
      <c r="C194" s="58"/>
      <c r="D194" s="58"/>
      <c r="E194" s="58"/>
      <c r="F194" s="58"/>
      <c r="G194" s="58"/>
      <c r="H194" s="58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8"/>
      <c r="U194" s="58"/>
      <c r="V194" s="58"/>
      <c r="W194" s="58"/>
      <c r="X194" s="58"/>
      <c r="Y194" s="58"/>
      <c r="Z194" s="58"/>
    </row>
    <row r="195" spans="1:26">
      <c r="A195" s="58"/>
      <c r="B195" s="58"/>
      <c r="C195" s="58"/>
      <c r="D195" s="58"/>
      <c r="E195" s="58"/>
      <c r="F195" s="58"/>
      <c r="G195" s="58"/>
      <c r="H195" s="58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8"/>
      <c r="U195" s="58"/>
      <c r="V195" s="58"/>
      <c r="W195" s="58"/>
      <c r="X195" s="58"/>
      <c r="Y195" s="58"/>
      <c r="Z195" s="58"/>
    </row>
    <row r="196" spans="1:26">
      <c r="A196" s="58"/>
      <c r="B196" s="58"/>
      <c r="C196" s="58"/>
      <c r="D196" s="58"/>
      <c r="E196" s="58"/>
      <c r="F196" s="58"/>
      <c r="G196" s="58"/>
      <c r="H196" s="58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8"/>
      <c r="U196" s="58"/>
      <c r="V196" s="58"/>
      <c r="W196" s="58"/>
      <c r="X196" s="58"/>
      <c r="Y196" s="58"/>
      <c r="Z196" s="58"/>
    </row>
    <row r="197" spans="1:26">
      <c r="A197" s="58"/>
      <c r="B197" s="58"/>
      <c r="C197" s="58"/>
      <c r="D197" s="58"/>
      <c r="E197" s="58"/>
      <c r="F197" s="58"/>
      <c r="G197" s="58"/>
      <c r="H197" s="58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8"/>
      <c r="U197" s="58"/>
      <c r="V197" s="58"/>
      <c r="W197" s="58"/>
      <c r="X197" s="58"/>
      <c r="Y197" s="58"/>
      <c r="Z197" s="58"/>
    </row>
    <row r="198" spans="1:26">
      <c r="A198" s="58"/>
      <c r="B198" s="58"/>
      <c r="C198" s="58"/>
      <c r="D198" s="58"/>
      <c r="E198" s="58"/>
      <c r="F198" s="58"/>
      <c r="G198" s="58"/>
      <c r="H198" s="58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8"/>
      <c r="U198" s="58"/>
      <c r="V198" s="58"/>
      <c r="W198" s="58"/>
      <c r="X198" s="58"/>
      <c r="Y198" s="58"/>
      <c r="Z198" s="58"/>
    </row>
    <row r="199" spans="1:26">
      <c r="A199" s="58"/>
      <c r="B199" s="58"/>
      <c r="C199" s="58"/>
      <c r="D199" s="58"/>
      <c r="E199" s="58"/>
      <c r="F199" s="58"/>
      <c r="G199" s="58"/>
      <c r="H199" s="58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8"/>
      <c r="U199" s="58"/>
      <c r="V199" s="58"/>
      <c r="W199" s="58"/>
      <c r="X199" s="58"/>
      <c r="Y199" s="58"/>
      <c r="Z199" s="58"/>
    </row>
    <row r="200" spans="1:26">
      <c r="A200" s="58"/>
      <c r="B200" s="58"/>
      <c r="C200" s="58"/>
      <c r="D200" s="58"/>
      <c r="E200" s="58"/>
      <c r="F200" s="58"/>
      <c r="G200" s="58"/>
      <c r="H200" s="58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8"/>
      <c r="U200" s="58"/>
      <c r="V200" s="58"/>
      <c r="W200" s="58"/>
      <c r="X200" s="58"/>
      <c r="Y200" s="58"/>
      <c r="Z200" s="58"/>
    </row>
    <row r="201" spans="1:26">
      <c r="A201" s="58"/>
      <c r="B201" s="58"/>
      <c r="C201" s="58"/>
      <c r="D201" s="58"/>
      <c r="E201" s="58"/>
      <c r="F201" s="58"/>
      <c r="G201" s="58"/>
      <c r="H201" s="58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8"/>
      <c r="U201" s="58"/>
      <c r="V201" s="58"/>
      <c r="W201" s="58"/>
      <c r="X201" s="58"/>
      <c r="Y201" s="58"/>
      <c r="Z201" s="58"/>
    </row>
    <row r="202" spans="1:26">
      <c r="A202" s="58"/>
      <c r="B202" s="58"/>
      <c r="C202" s="58"/>
      <c r="D202" s="58"/>
      <c r="E202" s="58"/>
      <c r="F202" s="58"/>
      <c r="G202" s="58"/>
      <c r="H202" s="58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8"/>
      <c r="U202" s="58"/>
      <c r="V202" s="58"/>
      <c r="W202" s="58"/>
      <c r="X202" s="58"/>
      <c r="Y202" s="58"/>
      <c r="Z202" s="58"/>
    </row>
    <row r="203" spans="1:26">
      <c r="A203" s="58"/>
      <c r="B203" s="58"/>
      <c r="C203" s="58"/>
      <c r="D203" s="58"/>
      <c r="E203" s="58"/>
      <c r="F203" s="58"/>
      <c r="G203" s="58"/>
      <c r="H203" s="58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8"/>
      <c r="U203" s="58"/>
      <c r="V203" s="58"/>
      <c r="W203" s="58"/>
      <c r="X203" s="58"/>
      <c r="Y203" s="58"/>
      <c r="Z203" s="58"/>
    </row>
    <row r="204" spans="1:26">
      <c r="A204" s="58"/>
      <c r="B204" s="58"/>
      <c r="C204" s="58"/>
      <c r="D204" s="58"/>
      <c r="E204" s="58"/>
      <c r="F204" s="58"/>
      <c r="G204" s="58"/>
      <c r="H204" s="58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8"/>
      <c r="U204" s="58"/>
      <c r="V204" s="58"/>
      <c r="W204" s="58"/>
      <c r="X204" s="58"/>
      <c r="Y204" s="58"/>
      <c r="Z204" s="58"/>
    </row>
    <row r="205" spans="1:26">
      <c r="A205" s="58"/>
      <c r="B205" s="58"/>
      <c r="C205" s="58"/>
      <c r="D205" s="58"/>
      <c r="E205" s="58"/>
      <c r="F205" s="58"/>
      <c r="G205" s="58"/>
      <c r="H205" s="58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8"/>
      <c r="U205" s="58"/>
      <c r="V205" s="58"/>
      <c r="W205" s="58"/>
      <c r="X205" s="58"/>
      <c r="Y205" s="58"/>
      <c r="Z205" s="58"/>
    </row>
    <row r="206" spans="1:26">
      <c r="A206" s="58"/>
      <c r="B206" s="58"/>
      <c r="C206" s="58"/>
      <c r="D206" s="58"/>
      <c r="E206" s="58"/>
      <c r="F206" s="58"/>
      <c r="G206" s="58"/>
      <c r="H206" s="58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8"/>
      <c r="U206" s="58"/>
      <c r="V206" s="58"/>
      <c r="W206" s="58"/>
      <c r="X206" s="58"/>
      <c r="Y206" s="58"/>
      <c r="Z206" s="58"/>
    </row>
    <row r="207" spans="1:26">
      <c r="A207" s="58"/>
      <c r="B207" s="58"/>
      <c r="C207" s="58"/>
      <c r="D207" s="58"/>
      <c r="E207" s="58"/>
      <c r="F207" s="58"/>
      <c r="G207" s="58"/>
      <c r="H207" s="58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8"/>
      <c r="U207" s="58"/>
      <c r="V207" s="58"/>
      <c r="W207" s="58"/>
      <c r="X207" s="58"/>
      <c r="Y207" s="58"/>
      <c r="Z207" s="58"/>
    </row>
    <row r="208" spans="1:26">
      <c r="A208" s="58"/>
      <c r="B208" s="58"/>
      <c r="C208" s="58"/>
      <c r="D208" s="58"/>
      <c r="E208" s="58"/>
      <c r="F208" s="58"/>
      <c r="G208" s="58"/>
      <c r="H208" s="58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8"/>
      <c r="U208" s="58"/>
      <c r="V208" s="58"/>
      <c r="W208" s="58"/>
      <c r="X208" s="58"/>
      <c r="Y208" s="58"/>
      <c r="Z208" s="58"/>
    </row>
    <row r="209" spans="1:26">
      <c r="A209" s="58"/>
      <c r="B209" s="58"/>
      <c r="C209" s="58"/>
      <c r="D209" s="58"/>
      <c r="E209" s="58"/>
      <c r="F209" s="58"/>
      <c r="G209" s="58"/>
      <c r="H209" s="58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8"/>
      <c r="U209" s="58"/>
      <c r="V209" s="58"/>
      <c r="W209" s="58"/>
      <c r="X209" s="58"/>
      <c r="Y209" s="58"/>
      <c r="Z209" s="58"/>
    </row>
    <row r="210" spans="1:26">
      <c r="A210" s="58"/>
      <c r="B210" s="58"/>
      <c r="C210" s="58"/>
      <c r="D210" s="58"/>
      <c r="E210" s="58"/>
      <c r="F210" s="58"/>
      <c r="G210" s="58"/>
      <c r="H210" s="58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8"/>
      <c r="U210" s="58"/>
      <c r="V210" s="58"/>
      <c r="W210" s="58"/>
      <c r="X210" s="58"/>
      <c r="Y210" s="58"/>
      <c r="Z210" s="58"/>
    </row>
    <row r="211" spans="1:26">
      <c r="A211" s="58"/>
      <c r="B211" s="58"/>
      <c r="C211" s="58"/>
      <c r="D211" s="58"/>
      <c r="E211" s="58"/>
      <c r="F211" s="58"/>
      <c r="G211" s="58"/>
      <c r="H211" s="58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8"/>
      <c r="U211" s="58"/>
      <c r="V211" s="58"/>
      <c r="W211" s="58"/>
      <c r="X211" s="58"/>
      <c r="Y211" s="58"/>
      <c r="Z211" s="58"/>
    </row>
    <row r="212" spans="1:26">
      <c r="A212" s="58"/>
      <c r="B212" s="58"/>
      <c r="C212" s="58"/>
      <c r="D212" s="58"/>
      <c r="E212" s="58"/>
      <c r="F212" s="58"/>
      <c r="G212" s="58"/>
      <c r="H212" s="58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8"/>
      <c r="U212" s="58"/>
      <c r="V212" s="58"/>
      <c r="W212" s="58"/>
      <c r="X212" s="58"/>
      <c r="Y212" s="58"/>
      <c r="Z212" s="58"/>
    </row>
    <row r="213" spans="1:26">
      <c r="A213" s="58"/>
      <c r="B213" s="58"/>
      <c r="C213" s="58"/>
      <c r="D213" s="58"/>
      <c r="E213" s="58"/>
      <c r="F213" s="58"/>
      <c r="G213" s="58"/>
      <c r="H213" s="58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8"/>
      <c r="U213" s="58"/>
      <c r="V213" s="58"/>
      <c r="W213" s="58"/>
      <c r="X213" s="58"/>
      <c r="Y213" s="58"/>
      <c r="Z213" s="58"/>
    </row>
    <row r="214" spans="1:26">
      <c r="A214" s="58"/>
      <c r="B214" s="58"/>
      <c r="C214" s="58"/>
      <c r="D214" s="58"/>
      <c r="E214" s="58"/>
      <c r="F214" s="58"/>
      <c r="G214" s="58"/>
      <c r="H214" s="58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8"/>
      <c r="U214" s="58"/>
      <c r="V214" s="58"/>
      <c r="W214" s="58"/>
      <c r="X214" s="58"/>
      <c r="Y214" s="58"/>
      <c r="Z214" s="58"/>
    </row>
    <row r="215" spans="1:26">
      <c r="A215" s="58"/>
      <c r="B215" s="58"/>
      <c r="C215" s="58"/>
      <c r="D215" s="58"/>
      <c r="E215" s="58"/>
      <c r="F215" s="58"/>
      <c r="G215" s="58"/>
      <c r="H215" s="58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8"/>
      <c r="U215" s="58"/>
      <c r="V215" s="58"/>
      <c r="W215" s="58"/>
      <c r="X215" s="58"/>
      <c r="Y215" s="58"/>
      <c r="Z215" s="58"/>
    </row>
    <row r="216" spans="1:26">
      <c r="A216" s="58"/>
      <c r="B216" s="58"/>
      <c r="C216" s="58"/>
      <c r="D216" s="58"/>
      <c r="E216" s="58"/>
      <c r="F216" s="58"/>
      <c r="G216" s="58"/>
      <c r="H216" s="58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8"/>
      <c r="U216" s="58"/>
      <c r="V216" s="58"/>
      <c r="W216" s="58"/>
      <c r="X216" s="58"/>
      <c r="Y216" s="58"/>
      <c r="Z216" s="58"/>
    </row>
    <row r="217" spans="1:26">
      <c r="A217" s="58"/>
      <c r="B217" s="58"/>
      <c r="C217" s="58"/>
      <c r="D217" s="58"/>
      <c r="E217" s="58"/>
      <c r="F217" s="58"/>
      <c r="G217" s="58"/>
      <c r="H217" s="58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8"/>
      <c r="U217" s="58"/>
      <c r="V217" s="58"/>
      <c r="W217" s="58"/>
      <c r="X217" s="58"/>
      <c r="Y217" s="58"/>
      <c r="Z217" s="58"/>
    </row>
    <row r="218" spans="1:26">
      <c r="A218" s="58"/>
      <c r="B218" s="58"/>
      <c r="C218" s="58"/>
      <c r="D218" s="58"/>
      <c r="E218" s="58"/>
      <c r="F218" s="58"/>
      <c r="G218" s="58"/>
      <c r="H218" s="58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8"/>
      <c r="U218" s="58"/>
      <c r="V218" s="58"/>
      <c r="W218" s="58"/>
      <c r="X218" s="58"/>
      <c r="Y218" s="58"/>
      <c r="Z218" s="58"/>
    </row>
    <row r="219" spans="1:26">
      <c r="A219" s="58"/>
      <c r="B219" s="58"/>
      <c r="C219" s="58"/>
      <c r="D219" s="58"/>
      <c r="E219" s="58"/>
      <c r="F219" s="58"/>
      <c r="G219" s="58"/>
      <c r="H219" s="58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8"/>
      <c r="U219" s="58"/>
      <c r="V219" s="58"/>
      <c r="W219" s="58"/>
      <c r="X219" s="58"/>
      <c r="Y219" s="58"/>
      <c r="Z219" s="58"/>
    </row>
    <row r="220" spans="1:26">
      <c r="A220" s="58"/>
      <c r="B220" s="58"/>
      <c r="C220" s="58"/>
      <c r="D220" s="58"/>
      <c r="E220" s="58"/>
      <c r="F220" s="58"/>
      <c r="G220" s="58"/>
      <c r="H220" s="58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8"/>
      <c r="U220" s="58"/>
      <c r="V220" s="58"/>
      <c r="W220" s="58"/>
      <c r="X220" s="58"/>
      <c r="Y220" s="58"/>
      <c r="Z220" s="58"/>
    </row>
    <row r="221" spans="1:26">
      <c r="A221" s="58"/>
      <c r="B221" s="58"/>
      <c r="C221" s="58"/>
      <c r="D221" s="58"/>
      <c r="E221" s="58"/>
      <c r="F221" s="58"/>
      <c r="G221" s="58"/>
      <c r="H221" s="58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8"/>
      <c r="U221" s="58"/>
      <c r="V221" s="58"/>
      <c r="W221" s="58"/>
      <c r="X221" s="58"/>
      <c r="Y221" s="58"/>
      <c r="Z221" s="58"/>
    </row>
    <row r="222" spans="1:26">
      <c r="A222" s="58"/>
      <c r="B222" s="58"/>
      <c r="C222" s="58"/>
      <c r="D222" s="58"/>
      <c r="E222" s="58"/>
      <c r="F222" s="58"/>
      <c r="G222" s="58"/>
      <c r="H222" s="58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8"/>
      <c r="U222" s="58"/>
      <c r="V222" s="58"/>
      <c r="W222" s="58"/>
      <c r="X222" s="58"/>
      <c r="Y222" s="58"/>
      <c r="Z222" s="58"/>
    </row>
    <row r="223" spans="1:26">
      <c r="A223" s="58"/>
      <c r="B223" s="58"/>
      <c r="C223" s="58"/>
      <c r="D223" s="58"/>
      <c r="E223" s="58"/>
      <c r="F223" s="58"/>
      <c r="G223" s="58"/>
      <c r="H223" s="58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8"/>
      <c r="U223" s="58"/>
      <c r="V223" s="58"/>
      <c r="W223" s="58"/>
      <c r="X223" s="58"/>
      <c r="Y223" s="58"/>
      <c r="Z223" s="58"/>
    </row>
    <row r="224" spans="1:26">
      <c r="A224" s="58"/>
      <c r="B224" s="58"/>
      <c r="C224" s="58"/>
      <c r="D224" s="58"/>
      <c r="E224" s="58"/>
      <c r="F224" s="58"/>
      <c r="G224" s="58"/>
      <c r="H224" s="58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8"/>
      <c r="U224" s="58"/>
      <c r="V224" s="58"/>
      <c r="W224" s="58"/>
      <c r="X224" s="58"/>
      <c r="Y224" s="58"/>
      <c r="Z224" s="58"/>
    </row>
    <row r="225" spans="1:26">
      <c r="A225" s="58"/>
      <c r="B225" s="58"/>
      <c r="C225" s="58"/>
      <c r="D225" s="58"/>
      <c r="E225" s="58"/>
      <c r="F225" s="58"/>
      <c r="G225" s="58"/>
      <c r="H225" s="58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8"/>
      <c r="U225" s="58"/>
      <c r="V225" s="58"/>
      <c r="W225" s="58"/>
      <c r="X225" s="58"/>
      <c r="Y225" s="58"/>
      <c r="Z225" s="58"/>
    </row>
    <row r="226" spans="1:26">
      <c r="A226" s="58"/>
      <c r="B226" s="58"/>
      <c r="C226" s="58"/>
      <c r="D226" s="58"/>
      <c r="E226" s="58"/>
      <c r="F226" s="58"/>
      <c r="G226" s="58"/>
      <c r="H226" s="58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8"/>
      <c r="U226" s="58"/>
      <c r="V226" s="58"/>
      <c r="W226" s="58"/>
      <c r="X226" s="58"/>
      <c r="Y226" s="58"/>
      <c r="Z226" s="58"/>
    </row>
    <row r="227" spans="1:26">
      <c r="A227" s="58"/>
      <c r="B227" s="58"/>
      <c r="C227" s="58"/>
      <c r="D227" s="58"/>
      <c r="E227" s="58"/>
      <c r="F227" s="58"/>
      <c r="G227" s="58"/>
      <c r="H227" s="58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8"/>
      <c r="U227" s="58"/>
      <c r="V227" s="58"/>
      <c r="W227" s="58"/>
      <c r="X227" s="58"/>
      <c r="Y227" s="58"/>
      <c r="Z227" s="58"/>
    </row>
    <row r="228" spans="1:26">
      <c r="A228" s="58"/>
      <c r="B228" s="58"/>
      <c r="C228" s="58"/>
      <c r="D228" s="58"/>
      <c r="E228" s="58"/>
      <c r="F228" s="58"/>
      <c r="G228" s="58"/>
      <c r="H228" s="58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8"/>
      <c r="U228" s="58"/>
      <c r="V228" s="58"/>
      <c r="W228" s="58"/>
      <c r="X228" s="58"/>
      <c r="Y228" s="58"/>
      <c r="Z228" s="58"/>
    </row>
    <row r="229" spans="1:26">
      <c r="A229" s="58"/>
      <c r="B229" s="58"/>
      <c r="C229" s="58"/>
      <c r="D229" s="58"/>
      <c r="E229" s="58"/>
      <c r="F229" s="58"/>
      <c r="G229" s="58"/>
      <c r="H229" s="58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8"/>
      <c r="U229" s="58"/>
      <c r="V229" s="58"/>
      <c r="W229" s="58"/>
      <c r="X229" s="58"/>
      <c r="Y229" s="58"/>
      <c r="Z229" s="58"/>
    </row>
    <row r="230" spans="1:26">
      <c r="A230" s="58"/>
      <c r="B230" s="58"/>
      <c r="C230" s="58"/>
      <c r="D230" s="58"/>
      <c r="E230" s="58"/>
      <c r="F230" s="58"/>
      <c r="G230" s="58"/>
      <c r="H230" s="58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8"/>
      <c r="U230" s="58"/>
      <c r="V230" s="58"/>
      <c r="W230" s="58"/>
      <c r="X230" s="58"/>
      <c r="Y230" s="58"/>
      <c r="Z230" s="58"/>
    </row>
    <row r="231" spans="1:26">
      <c r="A231" s="58"/>
      <c r="B231" s="58"/>
      <c r="C231" s="58"/>
      <c r="D231" s="58"/>
      <c r="E231" s="58"/>
      <c r="F231" s="58"/>
      <c r="G231" s="58"/>
      <c r="H231" s="58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8"/>
      <c r="U231" s="58"/>
      <c r="V231" s="58"/>
      <c r="W231" s="58"/>
      <c r="X231" s="58"/>
      <c r="Y231" s="58"/>
      <c r="Z231" s="58"/>
    </row>
    <row r="232" spans="1:26">
      <c r="A232" s="58"/>
      <c r="B232" s="58"/>
      <c r="C232" s="58"/>
      <c r="D232" s="58"/>
      <c r="E232" s="58"/>
      <c r="F232" s="58"/>
      <c r="G232" s="58"/>
      <c r="H232" s="58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8"/>
      <c r="U232" s="58"/>
      <c r="V232" s="58"/>
      <c r="W232" s="58"/>
      <c r="X232" s="58"/>
      <c r="Y232" s="58"/>
      <c r="Z232" s="58"/>
    </row>
    <row r="233" spans="1:26">
      <c r="A233" s="58"/>
      <c r="B233" s="58"/>
      <c r="C233" s="58"/>
      <c r="D233" s="58"/>
      <c r="E233" s="58"/>
      <c r="F233" s="58"/>
      <c r="G233" s="58"/>
      <c r="H233" s="58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8"/>
      <c r="U233" s="58"/>
      <c r="V233" s="58"/>
      <c r="W233" s="58"/>
      <c r="X233" s="58"/>
      <c r="Y233" s="58"/>
      <c r="Z233" s="58"/>
    </row>
    <row r="234" spans="1:26">
      <c r="A234" s="58"/>
      <c r="B234" s="58"/>
      <c r="C234" s="58"/>
      <c r="D234" s="58"/>
      <c r="E234" s="58"/>
      <c r="F234" s="58"/>
      <c r="G234" s="58"/>
      <c r="H234" s="58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8"/>
      <c r="U234" s="58"/>
      <c r="V234" s="58"/>
      <c r="W234" s="58"/>
      <c r="X234" s="58"/>
      <c r="Y234" s="58"/>
      <c r="Z234" s="58"/>
    </row>
    <row r="235" spans="1:26">
      <c r="A235" s="58"/>
      <c r="B235" s="58"/>
      <c r="C235" s="58"/>
      <c r="D235" s="58"/>
      <c r="E235" s="58"/>
      <c r="F235" s="58"/>
      <c r="G235" s="58"/>
      <c r="H235" s="58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8"/>
      <c r="U235" s="58"/>
      <c r="V235" s="58"/>
      <c r="W235" s="58"/>
      <c r="X235" s="58"/>
      <c r="Y235" s="58"/>
      <c r="Z235" s="58"/>
    </row>
    <row r="236" spans="1:26">
      <c r="A236" s="58"/>
      <c r="B236" s="58"/>
      <c r="C236" s="58"/>
      <c r="D236" s="58"/>
      <c r="E236" s="58"/>
      <c r="F236" s="58"/>
      <c r="G236" s="58"/>
      <c r="H236" s="58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8"/>
      <c r="U236" s="58"/>
      <c r="V236" s="58"/>
      <c r="W236" s="58"/>
      <c r="X236" s="58"/>
      <c r="Y236" s="58"/>
      <c r="Z236" s="58"/>
    </row>
    <row r="237" spans="1:26">
      <c r="A237" s="58"/>
      <c r="B237" s="58"/>
      <c r="C237" s="58"/>
      <c r="D237" s="58"/>
      <c r="E237" s="58"/>
      <c r="F237" s="58"/>
      <c r="G237" s="58"/>
      <c r="H237" s="58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8"/>
      <c r="U237" s="58"/>
      <c r="V237" s="58"/>
      <c r="W237" s="58"/>
      <c r="X237" s="58"/>
      <c r="Y237" s="58"/>
      <c r="Z237" s="58"/>
    </row>
    <row r="238" spans="1:26">
      <c r="A238" s="58"/>
      <c r="B238" s="58"/>
      <c r="C238" s="58"/>
      <c r="D238" s="58"/>
      <c r="E238" s="58"/>
      <c r="F238" s="58"/>
      <c r="G238" s="58"/>
      <c r="H238" s="58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8"/>
      <c r="U238" s="58"/>
      <c r="V238" s="58"/>
      <c r="W238" s="58"/>
      <c r="X238" s="58"/>
      <c r="Y238" s="58"/>
      <c r="Z238" s="58"/>
    </row>
    <row r="239" spans="1:26">
      <c r="A239" s="58"/>
      <c r="B239" s="58"/>
      <c r="C239" s="58"/>
      <c r="D239" s="58"/>
      <c r="E239" s="58"/>
      <c r="F239" s="58"/>
      <c r="G239" s="58"/>
      <c r="H239" s="58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8"/>
      <c r="U239" s="58"/>
      <c r="V239" s="58"/>
      <c r="W239" s="58"/>
      <c r="X239" s="58"/>
      <c r="Y239" s="58"/>
      <c r="Z239" s="58"/>
    </row>
    <row r="240" spans="1:26">
      <c r="A240" s="58"/>
      <c r="B240" s="58"/>
      <c r="C240" s="58"/>
      <c r="D240" s="58"/>
      <c r="E240" s="58"/>
      <c r="F240" s="58"/>
      <c r="G240" s="58"/>
      <c r="H240" s="58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8"/>
      <c r="U240" s="58"/>
      <c r="V240" s="58"/>
      <c r="W240" s="58"/>
      <c r="X240" s="58"/>
      <c r="Y240" s="58"/>
      <c r="Z240" s="58"/>
    </row>
    <row r="241" spans="1:26">
      <c r="A241" s="58"/>
      <c r="B241" s="58"/>
      <c r="C241" s="58"/>
      <c r="D241" s="58"/>
      <c r="E241" s="58"/>
      <c r="F241" s="58"/>
      <c r="G241" s="58"/>
      <c r="H241" s="58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8"/>
      <c r="U241" s="58"/>
      <c r="V241" s="58"/>
      <c r="W241" s="58"/>
      <c r="X241" s="58"/>
      <c r="Y241" s="58"/>
      <c r="Z241" s="58"/>
    </row>
    <row r="242" spans="1:26">
      <c r="A242" s="58"/>
      <c r="B242" s="58"/>
      <c r="C242" s="58"/>
      <c r="D242" s="58"/>
      <c r="E242" s="58"/>
      <c r="F242" s="58"/>
      <c r="G242" s="58"/>
      <c r="H242" s="58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8"/>
      <c r="U242" s="58"/>
      <c r="V242" s="58"/>
      <c r="W242" s="58"/>
      <c r="X242" s="58"/>
      <c r="Y242" s="58"/>
      <c r="Z242" s="58"/>
    </row>
    <row r="243" spans="1:26">
      <c r="A243" s="58"/>
      <c r="B243" s="58"/>
      <c r="C243" s="58"/>
      <c r="D243" s="58"/>
      <c r="E243" s="58"/>
      <c r="F243" s="58"/>
      <c r="G243" s="58"/>
      <c r="H243" s="58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8"/>
      <c r="U243" s="58"/>
      <c r="V243" s="58"/>
      <c r="W243" s="58"/>
      <c r="X243" s="58"/>
      <c r="Y243" s="58"/>
      <c r="Z243" s="58"/>
    </row>
    <row r="244" spans="1:26">
      <c r="A244" s="58"/>
      <c r="B244" s="58"/>
      <c r="C244" s="58"/>
      <c r="D244" s="58"/>
      <c r="E244" s="58"/>
      <c r="F244" s="58"/>
      <c r="G244" s="58"/>
      <c r="H244" s="58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8"/>
      <c r="U244" s="58"/>
      <c r="V244" s="58"/>
      <c r="W244" s="58"/>
      <c r="X244" s="58"/>
      <c r="Y244" s="58"/>
      <c r="Z244" s="58"/>
    </row>
    <row r="245" spans="1:26">
      <c r="A245" s="58"/>
      <c r="B245" s="58"/>
      <c r="C245" s="58"/>
      <c r="D245" s="58"/>
      <c r="E245" s="58"/>
      <c r="F245" s="58"/>
      <c r="G245" s="58"/>
      <c r="H245" s="58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8"/>
      <c r="U245" s="58"/>
      <c r="V245" s="58"/>
      <c r="W245" s="58"/>
      <c r="X245" s="58"/>
      <c r="Y245" s="58"/>
      <c r="Z245" s="58"/>
    </row>
    <row r="246" spans="1:26">
      <c r="A246" s="58"/>
      <c r="B246" s="58"/>
      <c r="C246" s="58"/>
      <c r="D246" s="58"/>
      <c r="E246" s="58"/>
      <c r="F246" s="58"/>
      <c r="G246" s="58"/>
      <c r="H246" s="58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8"/>
      <c r="U246" s="58"/>
      <c r="V246" s="58"/>
      <c r="W246" s="58"/>
      <c r="X246" s="58"/>
      <c r="Y246" s="58"/>
      <c r="Z246" s="58"/>
    </row>
    <row r="247" spans="1:26">
      <c r="A247" s="58"/>
      <c r="B247" s="58"/>
      <c r="C247" s="58"/>
      <c r="D247" s="58"/>
      <c r="E247" s="58"/>
      <c r="F247" s="58"/>
      <c r="G247" s="58"/>
      <c r="H247" s="58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8"/>
      <c r="U247" s="58"/>
      <c r="V247" s="58"/>
      <c r="W247" s="58"/>
      <c r="X247" s="58"/>
      <c r="Y247" s="58"/>
      <c r="Z247" s="58"/>
    </row>
    <row r="248" spans="1:26">
      <c r="A248" s="58"/>
      <c r="B248" s="58"/>
      <c r="C248" s="58"/>
      <c r="D248" s="58"/>
      <c r="E248" s="58"/>
      <c r="F248" s="58"/>
      <c r="G248" s="58"/>
      <c r="H248" s="58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8"/>
      <c r="U248" s="58"/>
      <c r="V248" s="58"/>
      <c r="W248" s="58"/>
      <c r="X248" s="58"/>
      <c r="Y248" s="58"/>
      <c r="Z248" s="58"/>
    </row>
    <row r="249" spans="1:26">
      <c r="A249" s="58"/>
      <c r="B249" s="58"/>
      <c r="C249" s="58"/>
      <c r="D249" s="58"/>
      <c r="E249" s="58"/>
      <c r="F249" s="58"/>
      <c r="G249" s="58"/>
      <c r="H249" s="58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8"/>
      <c r="U249" s="58"/>
      <c r="V249" s="58"/>
      <c r="W249" s="58"/>
      <c r="X249" s="58"/>
      <c r="Y249" s="58"/>
      <c r="Z249" s="58"/>
    </row>
    <row r="250" spans="1:26">
      <c r="A250" s="58"/>
      <c r="B250" s="58"/>
      <c r="C250" s="58"/>
      <c r="D250" s="58"/>
      <c r="E250" s="58"/>
      <c r="F250" s="58"/>
      <c r="G250" s="58"/>
      <c r="H250" s="58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8"/>
      <c r="U250" s="58"/>
      <c r="V250" s="58"/>
      <c r="W250" s="58"/>
      <c r="X250" s="58"/>
      <c r="Y250" s="58"/>
      <c r="Z250" s="58"/>
    </row>
    <row r="251" spans="1:26">
      <c r="A251" s="58"/>
      <c r="B251" s="58"/>
      <c r="C251" s="58"/>
      <c r="D251" s="58"/>
      <c r="E251" s="58"/>
      <c r="F251" s="58"/>
      <c r="G251" s="58"/>
      <c r="H251" s="58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8"/>
      <c r="U251" s="58"/>
      <c r="V251" s="58"/>
      <c r="W251" s="58"/>
      <c r="X251" s="58"/>
      <c r="Y251" s="58"/>
      <c r="Z251" s="58"/>
    </row>
    <row r="252" spans="1:26">
      <c r="A252" s="58"/>
      <c r="B252" s="58"/>
      <c r="C252" s="58"/>
      <c r="D252" s="58"/>
      <c r="E252" s="58"/>
      <c r="F252" s="58"/>
      <c r="G252" s="58"/>
      <c r="H252" s="58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8"/>
      <c r="U252" s="58"/>
      <c r="V252" s="58"/>
      <c r="W252" s="58"/>
      <c r="X252" s="58"/>
      <c r="Y252" s="58"/>
      <c r="Z252" s="58"/>
    </row>
    <row r="253" spans="1:26">
      <c r="A253" s="58"/>
      <c r="B253" s="58"/>
      <c r="C253" s="58"/>
      <c r="D253" s="58"/>
      <c r="E253" s="58"/>
      <c r="F253" s="58"/>
      <c r="G253" s="58"/>
      <c r="H253" s="58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8"/>
      <c r="U253" s="58"/>
      <c r="V253" s="58"/>
      <c r="W253" s="58"/>
      <c r="X253" s="58"/>
      <c r="Y253" s="58"/>
      <c r="Z253" s="58"/>
    </row>
    <row r="254" spans="1:26">
      <c r="A254" s="58"/>
      <c r="B254" s="58"/>
      <c r="C254" s="58"/>
      <c r="D254" s="58"/>
      <c r="E254" s="58"/>
      <c r="F254" s="58"/>
      <c r="G254" s="58"/>
      <c r="H254" s="58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8"/>
      <c r="U254" s="58"/>
      <c r="V254" s="58"/>
      <c r="W254" s="58"/>
      <c r="X254" s="58"/>
      <c r="Y254" s="58"/>
      <c r="Z254" s="58"/>
    </row>
    <row r="255" spans="1:26">
      <c r="A255" s="58"/>
      <c r="B255" s="58"/>
      <c r="C255" s="58"/>
      <c r="D255" s="58"/>
      <c r="E255" s="58"/>
      <c r="F255" s="58"/>
      <c r="G255" s="58"/>
      <c r="H255" s="58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8"/>
      <c r="U255" s="58"/>
      <c r="V255" s="58"/>
      <c r="W255" s="58"/>
      <c r="X255" s="58"/>
      <c r="Y255" s="58"/>
      <c r="Z255" s="58"/>
    </row>
    <row r="256" spans="1:26">
      <c r="A256" s="58"/>
      <c r="B256" s="58"/>
      <c r="C256" s="58"/>
      <c r="D256" s="58"/>
      <c r="E256" s="58"/>
      <c r="F256" s="58"/>
      <c r="G256" s="58"/>
      <c r="H256" s="58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8"/>
      <c r="U256" s="58"/>
      <c r="V256" s="58"/>
      <c r="W256" s="58"/>
      <c r="X256" s="58"/>
      <c r="Y256" s="58"/>
      <c r="Z256" s="58"/>
    </row>
    <row r="257" spans="1:26">
      <c r="A257" s="58"/>
      <c r="B257" s="58"/>
      <c r="C257" s="58"/>
      <c r="D257" s="58"/>
      <c r="E257" s="58"/>
      <c r="F257" s="58"/>
      <c r="G257" s="58"/>
      <c r="H257" s="58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8"/>
      <c r="U257" s="58"/>
      <c r="V257" s="58"/>
      <c r="W257" s="58"/>
      <c r="X257" s="58"/>
      <c r="Y257" s="58"/>
      <c r="Z257" s="58"/>
    </row>
    <row r="258" spans="1:26">
      <c r="A258" s="58"/>
      <c r="B258" s="58"/>
      <c r="C258" s="58"/>
      <c r="D258" s="58"/>
      <c r="E258" s="58"/>
      <c r="F258" s="58"/>
      <c r="G258" s="58"/>
      <c r="H258" s="58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8"/>
      <c r="U258" s="58"/>
      <c r="V258" s="58"/>
      <c r="W258" s="58"/>
      <c r="X258" s="58"/>
      <c r="Y258" s="58"/>
      <c r="Z258" s="58"/>
    </row>
    <row r="259" spans="1:26">
      <c r="A259" s="58"/>
      <c r="B259" s="58"/>
      <c r="C259" s="58"/>
      <c r="D259" s="58"/>
      <c r="E259" s="58"/>
      <c r="F259" s="58"/>
      <c r="G259" s="58"/>
      <c r="H259" s="58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8"/>
      <c r="U259" s="58"/>
      <c r="V259" s="58"/>
      <c r="W259" s="58"/>
      <c r="X259" s="58"/>
      <c r="Y259" s="58"/>
      <c r="Z259" s="58"/>
    </row>
    <row r="260" spans="1:26">
      <c r="A260" s="58"/>
      <c r="B260" s="58"/>
      <c r="C260" s="58"/>
      <c r="D260" s="58"/>
      <c r="E260" s="58"/>
      <c r="F260" s="58"/>
      <c r="G260" s="58"/>
      <c r="H260" s="58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8"/>
      <c r="U260" s="58"/>
      <c r="V260" s="58"/>
      <c r="W260" s="58"/>
      <c r="X260" s="58"/>
      <c r="Y260" s="58"/>
      <c r="Z260" s="58"/>
    </row>
    <row r="261" spans="1:26">
      <c r="A261" s="58"/>
      <c r="B261" s="58"/>
      <c r="C261" s="58"/>
      <c r="D261" s="58"/>
      <c r="E261" s="58"/>
      <c r="F261" s="58"/>
      <c r="G261" s="58"/>
      <c r="H261" s="58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8"/>
      <c r="U261" s="58"/>
      <c r="V261" s="58"/>
      <c r="W261" s="58"/>
      <c r="X261" s="58"/>
      <c r="Y261" s="58"/>
      <c r="Z261" s="58"/>
    </row>
    <row r="262" spans="1:26">
      <c r="A262" s="58"/>
      <c r="B262" s="58"/>
      <c r="C262" s="58"/>
      <c r="D262" s="58"/>
      <c r="E262" s="58"/>
      <c r="F262" s="58"/>
      <c r="G262" s="58"/>
      <c r="H262" s="58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8"/>
      <c r="U262" s="58"/>
      <c r="V262" s="58"/>
      <c r="W262" s="58"/>
      <c r="X262" s="58"/>
      <c r="Y262" s="58"/>
      <c r="Z262" s="58"/>
    </row>
    <row r="263" spans="1:26">
      <c r="A263" s="58"/>
      <c r="B263" s="58"/>
      <c r="C263" s="58"/>
      <c r="D263" s="58"/>
      <c r="E263" s="58"/>
      <c r="F263" s="58"/>
      <c r="G263" s="58"/>
      <c r="H263" s="58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8"/>
      <c r="U263" s="58"/>
      <c r="V263" s="58"/>
      <c r="W263" s="58"/>
      <c r="X263" s="58"/>
      <c r="Y263" s="58"/>
      <c r="Z263" s="58"/>
    </row>
    <row r="264" spans="1:26">
      <c r="A264" s="58"/>
      <c r="B264" s="58"/>
      <c r="C264" s="58"/>
      <c r="D264" s="58"/>
      <c r="E264" s="58"/>
      <c r="F264" s="58"/>
      <c r="G264" s="58"/>
      <c r="H264" s="58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8"/>
      <c r="U264" s="58"/>
      <c r="V264" s="58"/>
      <c r="W264" s="58"/>
      <c r="X264" s="58"/>
      <c r="Y264" s="58"/>
      <c r="Z264" s="58"/>
    </row>
    <row r="265" spans="1:26">
      <c r="A265" s="58"/>
      <c r="B265" s="58"/>
      <c r="C265" s="58"/>
      <c r="D265" s="58"/>
      <c r="E265" s="58"/>
      <c r="F265" s="58"/>
      <c r="G265" s="58"/>
      <c r="H265" s="58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8"/>
      <c r="U265" s="58"/>
      <c r="V265" s="58"/>
      <c r="W265" s="58"/>
      <c r="X265" s="58"/>
      <c r="Y265" s="58"/>
      <c r="Z265" s="58"/>
    </row>
    <row r="266" spans="1:26">
      <c r="A266" s="58"/>
      <c r="B266" s="58"/>
      <c r="C266" s="58"/>
      <c r="D266" s="58"/>
      <c r="E266" s="58"/>
      <c r="F266" s="58"/>
      <c r="G266" s="58"/>
      <c r="H266" s="58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8"/>
      <c r="U266" s="58"/>
      <c r="V266" s="58"/>
      <c r="W266" s="58"/>
      <c r="X266" s="58"/>
      <c r="Y266" s="58"/>
      <c r="Z266" s="58"/>
    </row>
    <row r="267" spans="1:26">
      <c r="A267" s="58"/>
      <c r="B267" s="58"/>
      <c r="C267" s="58"/>
      <c r="D267" s="58"/>
      <c r="E267" s="58"/>
      <c r="F267" s="58"/>
      <c r="G267" s="58"/>
      <c r="H267" s="58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8"/>
      <c r="U267" s="58"/>
      <c r="V267" s="58"/>
      <c r="W267" s="58"/>
      <c r="X267" s="58"/>
      <c r="Y267" s="58"/>
      <c r="Z267" s="58"/>
    </row>
    <row r="268" spans="1:26">
      <c r="A268" s="58"/>
      <c r="B268" s="58"/>
      <c r="C268" s="58"/>
      <c r="D268" s="58"/>
      <c r="E268" s="58"/>
      <c r="F268" s="58"/>
      <c r="G268" s="58"/>
      <c r="H268" s="58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8"/>
      <c r="U268" s="58"/>
      <c r="V268" s="58"/>
      <c r="W268" s="58"/>
      <c r="X268" s="58"/>
      <c r="Y268" s="58"/>
      <c r="Z268" s="58"/>
    </row>
    <row r="269" spans="1:26">
      <c r="A269" s="58"/>
      <c r="B269" s="58"/>
      <c r="C269" s="58"/>
      <c r="D269" s="58"/>
      <c r="E269" s="58"/>
      <c r="F269" s="58"/>
      <c r="G269" s="58"/>
      <c r="H269" s="58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8"/>
      <c r="U269" s="58"/>
      <c r="V269" s="58"/>
      <c r="W269" s="58"/>
      <c r="X269" s="58"/>
      <c r="Y269" s="58"/>
      <c r="Z269" s="58"/>
    </row>
    <row r="270" spans="1:26">
      <c r="A270" s="58"/>
      <c r="B270" s="58"/>
      <c r="C270" s="58"/>
      <c r="D270" s="58"/>
      <c r="E270" s="58"/>
      <c r="F270" s="58"/>
      <c r="G270" s="58"/>
      <c r="H270" s="58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8"/>
      <c r="U270" s="58"/>
      <c r="V270" s="58"/>
      <c r="W270" s="58"/>
      <c r="X270" s="58"/>
      <c r="Y270" s="58"/>
      <c r="Z270" s="58"/>
    </row>
    <row r="271" spans="1:26">
      <c r="A271" s="58"/>
      <c r="B271" s="58"/>
      <c r="C271" s="58"/>
      <c r="D271" s="58"/>
      <c r="E271" s="58"/>
      <c r="F271" s="58"/>
      <c r="G271" s="58"/>
      <c r="H271" s="58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8"/>
      <c r="U271" s="58"/>
      <c r="V271" s="58"/>
      <c r="W271" s="58"/>
      <c r="X271" s="58"/>
      <c r="Y271" s="58"/>
      <c r="Z271" s="58"/>
    </row>
    <row r="272" spans="1:26">
      <c r="A272" s="58"/>
      <c r="B272" s="58"/>
      <c r="C272" s="58"/>
      <c r="D272" s="58"/>
      <c r="E272" s="58"/>
      <c r="F272" s="58"/>
      <c r="G272" s="58"/>
      <c r="H272" s="58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8"/>
      <c r="U272" s="58"/>
      <c r="V272" s="58"/>
      <c r="W272" s="58"/>
      <c r="X272" s="58"/>
      <c r="Y272" s="58"/>
      <c r="Z272" s="58"/>
    </row>
    <row r="273" spans="1:26">
      <c r="A273" s="58"/>
      <c r="B273" s="58"/>
      <c r="C273" s="58"/>
      <c r="D273" s="58"/>
      <c r="E273" s="58"/>
      <c r="F273" s="58"/>
      <c r="G273" s="58"/>
      <c r="H273" s="58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8"/>
      <c r="U273" s="58"/>
      <c r="V273" s="58"/>
      <c r="W273" s="58"/>
      <c r="X273" s="58"/>
      <c r="Y273" s="58"/>
      <c r="Z273" s="58"/>
    </row>
    <row r="274" spans="1:26">
      <c r="A274" s="58"/>
      <c r="B274" s="58"/>
      <c r="C274" s="58"/>
      <c r="D274" s="58"/>
      <c r="E274" s="58"/>
      <c r="F274" s="58"/>
      <c r="G274" s="58"/>
      <c r="H274" s="58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8"/>
      <c r="U274" s="58"/>
      <c r="V274" s="58"/>
      <c r="W274" s="58"/>
      <c r="X274" s="58"/>
      <c r="Y274" s="58"/>
      <c r="Z274" s="58"/>
    </row>
    <row r="275" spans="1:26">
      <c r="A275" s="58"/>
      <c r="B275" s="58"/>
      <c r="C275" s="58"/>
      <c r="D275" s="58"/>
      <c r="E275" s="58"/>
      <c r="F275" s="58"/>
      <c r="G275" s="58"/>
      <c r="H275" s="58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8"/>
      <c r="U275" s="58"/>
      <c r="V275" s="58"/>
      <c r="W275" s="58"/>
      <c r="X275" s="58"/>
      <c r="Y275" s="58"/>
      <c r="Z275" s="58"/>
    </row>
    <row r="276" spans="1:26">
      <c r="A276" s="58"/>
      <c r="B276" s="58"/>
      <c r="C276" s="58"/>
      <c r="D276" s="58"/>
      <c r="E276" s="58"/>
      <c r="F276" s="58"/>
      <c r="G276" s="58"/>
      <c r="H276" s="58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8"/>
      <c r="U276" s="58"/>
      <c r="V276" s="58"/>
      <c r="W276" s="58"/>
      <c r="X276" s="58"/>
      <c r="Y276" s="58"/>
      <c r="Z276" s="58"/>
    </row>
    <row r="277" spans="1:26">
      <c r="A277" s="58"/>
      <c r="B277" s="58"/>
      <c r="C277" s="58"/>
      <c r="D277" s="58"/>
      <c r="E277" s="58"/>
      <c r="F277" s="58"/>
      <c r="G277" s="58"/>
      <c r="H277" s="58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8"/>
      <c r="U277" s="58"/>
      <c r="V277" s="58"/>
      <c r="W277" s="58"/>
      <c r="X277" s="58"/>
      <c r="Y277" s="58"/>
      <c r="Z277" s="58"/>
    </row>
    <row r="278" spans="1:26">
      <c r="A278" s="58"/>
      <c r="B278" s="58"/>
      <c r="C278" s="58"/>
      <c r="D278" s="58"/>
      <c r="E278" s="58"/>
      <c r="F278" s="58"/>
      <c r="G278" s="58"/>
      <c r="H278" s="58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8"/>
      <c r="U278" s="58"/>
      <c r="V278" s="58"/>
      <c r="W278" s="58"/>
      <c r="X278" s="58"/>
      <c r="Y278" s="58"/>
      <c r="Z278" s="58"/>
    </row>
    <row r="279" spans="1:26">
      <c r="A279" s="58"/>
      <c r="B279" s="58"/>
      <c r="C279" s="58"/>
      <c r="D279" s="58"/>
      <c r="E279" s="58"/>
      <c r="F279" s="58"/>
      <c r="G279" s="58"/>
      <c r="H279" s="58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8"/>
      <c r="U279" s="58"/>
      <c r="V279" s="58"/>
      <c r="W279" s="58"/>
      <c r="X279" s="58"/>
      <c r="Y279" s="58"/>
      <c r="Z279" s="58"/>
    </row>
    <row r="280" spans="1:26">
      <c r="A280" s="58"/>
      <c r="B280" s="58"/>
      <c r="C280" s="58"/>
      <c r="D280" s="58"/>
      <c r="E280" s="58"/>
      <c r="F280" s="58"/>
      <c r="G280" s="58"/>
      <c r="H280" s="58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8"/>
      <c r="U280" s="58"/>
      <c r="V280" s="58"/>
      <c r="W280" s="58"/>
      <c r="X280" s="58"/>
      <c r="Y280" s="58"/>
      <c r="Z280" s="58"/>
    </row>
    <row r="281" spans="1:26">
      <c r="A281" s="58"/>
      <c r="B281" s="58"/>
      <c r="C281" s="58"/>
      <c r="D281" s="58"/>
      <c r="E281" s="58"/>
      <c r="F281" s="58"/>
      <c r="G281" s="58"/>
      <c r="H281" s="58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8"/>
      <c r="U281" s="58"/>
      <c r="V281" s="58"/>
      <c r="W281" s="58"/>
      <c r="X281" s="58"/>
      <c r="Y281" s="58"/>
      <c r="Z281" s="58"/>
    </row>
    <row r="282" spans="1:26">
      <c r="A282" s="58"/>
      <c r="B282" s="58"/>
      <c r="C282" s="58"/>
      <c r="D282" s="58"/>
      <c r="E282" s="58"/>
      <c r="F282" s="58"/>
      <c r="G282" s="58"/>
      <c r="H282" s="58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8"/>
      <c r="U282" s="58"/>
      <c r="V282" s="58"/>
      <c r="W282" s="58"/>
      <c r="X282" s="58"/>
      <c r="Y282" s="58"/>
      <c r="Z282" s="58"/>
    </row>
    <row r="283" spans="1:26">
      <c r="A283" s="58"/>
      <c r="B283" s="58"/>
      <c r="C283" s="58"/>
      <c r="D283" s="58"/>
      <c r="E283" s="58"/>
      <c r="F283" s="58"/>
      <c r="G283" s="58"/>
      <c r="H283" s="58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8"/>
      <c r="U283" s="58"/>
      <c r="V283" s="58"/>
      <c r="W283" s="58"/>
      <c r="X283" s="58"/>
      <c r="Y283" s="58"/>
      <c r="Z283" s="58"/>
    </row>
    <row r="284" spans="1:26">
      <c r="A284" s="58"/>
      <c r="B284" s="58"/>
      <c r="C284" s="58"/>
      <c r="D284" s="58"/>
      <c r="E284" s="58"/>
      <c r="F284" s="58"/>
      <c r="G284" s="58"/>
      <c r="H284" s="58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8"/>
      <c r="U284" s="58"/>
      <c r="V284" s="58"/>
      <c r="W284" s="58"/>
      <c r="X284" s="58"/>
      <c r="Y284" s="58"/>
      <c r="Z284" s="58"/>
    </row>
    <row r="285" spans="1:26">
      <c r="A285" s="58"/>
      <c r="B285" s="58"/>
      <c r="C285" s="58"/>
      <c r="D285" s="58"/>
      <c r="E285" s="58"/>
      <c r="F285" s="58"/>
      <c r="G285" s="58"/>
      <c r="H285" s="58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8"/>
      <c r="U285" s="58"/>
      <c r="V285" s="58"/>
      <c r="W285" s="58"/>
      <c r="X285" s="58"/>
      <c r="Y285" s="58"/>
      <c r="Z285" s="58"/>
    </row>
    <row r="286" spans="1:26">
      <c r="A286" s="58"/>
      <c r="B286" s="58"/>
      <c r="C286" s="58"/>
      <c r="D286" s="58"/>
      <c r="E286" s="58"/>
      <c r="F286" s="58"/>
      <c r="G286" s="58"/>
      <c r="H286" s="58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8"/>
      <c r="U286" s="58"/>
      <c r="V286" s="58"/>
      <c r="W286" s="58"/>
      <c r="X286" s="58"/>
      <c r="Y286" s="58"/>
      <c r="Z286" s="58"/>
    </row>
    <row r="287" spans="1:26">
      <c r="A287" s="58"/>
      <c r="B287" s="58"/>
      <c r="C287" s="58"/>
      <c r="D287" s="58"/>
      <c r="E287" s="58"/>
      <c r="F287" s="58"/>
      <c r="G287" s="58"/>
      <c r="H287" s="58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8"/>
      <c r="U287" s="58"/>
      <c r="V287" s="58"/>
      <c r="W287" s="58"/>
      <c r="X287" s="58"/>
      <c r="Y287" s="58"/>
      <c r="Z287" s="58"/>
    </row>
    <row r="288" spans="1:26">
      <c r="A288" s="58"/>
      <c r="B288" s="58"/>
      <c r="C288" s="58"/>
      <c r="D288" s="58"/>
      <c r="E288" s="58"/>
      <c r="F288" s="58"/>
      <c r="G288" s="58"/>
      <c r="H288" s="58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8"/>
      <c r="U288" s="58"/>
      <c r="V288" s="58"/>
      <c r="W288" s="58"/>
      <c r="X288" s="58"/>
      <c r="Y288" s="58"/>
      <c r="Z288" s="58"/>
    </row>
    <row r="289" spans="1:26">
      <c r="A289" s="58"/>
      <c r="B289" s="58"/>
      <c r="C289" s="58"/>
      <c r="D289" s="58"/>
      <c r="E289" s="58"/>
      <c r="F289" s="58"/>
      <c r="G289" s="58"/>
      <c r="H289" s="58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8"/>
      <c r="U289" s="58"/>
      <c r="V289" s="58"/>
      <c r="W289" s="58"/>
      <c r="X289" s="58"/>
      <c r="Y289" s="58"/>
      <c r="Z289" s="58"/>
    </row>
    <row r="290" spans="1:26">
      <c r="A290" s="58"/>
      <c r="B290" s="58"/>
      <c r="C290" s="58"/>
      <c r="D290" s="58"/>
      <c r="E290" s="58"/>
      <c r="F290" s="58"/>
      <c r="G290" s="58"/>
      <c r="H290" s="58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8"/>
      <c r="U290" s="58"/>
      <c r="V290" s="58"/>
      <c r="W290" s="58"/>
      <c r="X290" s="58"/>
      <c r="Y290" s="58"/>
      <c r="Z290" s="58"/>
    </row>
    <row r="291" spans="1:26">
      <c r="A291" s="58"/>
      <c r="B291" s="58"/>
      <c r="C291" s="58"/>
      <c r="D291" s="58"/>
      <c r="E291" s="58"/>
      <c r="F291" s="58"/>
      <c r="G291" s="58"/>
      <c r="H291" s="58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8"/>
      <c r="U291" s="58"/>
      <c r="V291" s="58"/>
      <c r="W291" s="58"/>
      <c r="X291" s="58"/>
      <c r="Y291" s="58"/>
      <c r="Z291" s="58"/>
    </row>
    <row r="292" spans="1:26">
      <c r="A292" s="58"/>
      <c r="B292" s="58"/>
      <c r="C292" s="58"/>
      <c r="D292" s="58"/>
      <c r="E292" s="58"/>
      <c r="F292" s="58"/>
      <c r="G292" s="58"/>
      <c r="H292" s="58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8"/>
      <c r="U292" s="58"/>
      <c r="V292" s="58"/>
      <c r="W292" s="58"/>
      <c r="X292" s="58"/>
      <c r="Y292" s="58"/>
      <c r="Z292" s="58"/>
    </row>
    <row r="293" spans="1:26">
      <c r="A293" s="58"/>
      <c r="B293" s="58"/>
      <c r="C293" s="58"/>
      <c r="D293" s="58"/>
      <c r="E293" s="58"/>
      <c r="F293" s="58"/>
      <c r="G293" s="58"/>
      <c r="H293" s="58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8"/>
      <c r="U293" s="58"/>
      <c r="V293" s="58"/>
      <c r="W293" s="58"/>
      <c r="X293" s="58"/>
      <c r="Y293" s="58"/>
      <c r="Z293" s="58"/>
    </row>
    <row r="294" spans="1:26">
      <c r="A294" s="58"/>
      <c r="B294" s="58"/>
      <c r="C294" s="58"/>
      <c r="D294" s="58"/>
      <c r="E294" s="58"/>
      <c r="F294" s="58"/>
      <c r="G294" s="58"/>
      <c r="H294" s="58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8"/>
      <c r="U294" s="58"/>
      <c r="V294" s="58"/>
      <c r="W294" s="58"/>
      <c r="X294" s="58"/>
      <c r="Y294" s="58"/>
      <c r="Z294" s="58"/>
    </row>
    <row r="295" spans="1:26">
      <c r="A295" s="58"/>
      <c r="B295" s="58"/>
      <c r="C295" s="58"/>
      <c r="D295" s="58"/>
      <c r="E295" s="58"/>
      <c r="F295" s="58"/>
      <c r="G295" s="58"/>
      <c r="H295" s="58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8"/>
      <c r="U295" s="58"/>
      <c r="V295" s="58"/>
      <c r="W295" s="58"/>
      <c r="X295" s="58"/>
      <c r="Y295" s="58"/>
      <c r="Z295" s="58"/>
    </row>
    <row r="296" spans="1:26">
      <c r="A296" s="58"/>
      <c r="B296" s="58"/>
      <c r="C296" s="58"/>
      <c r="D296" s="58"/>
      <c r="E296" s="58"/>
      <c r="F296" s="58"/>
      <c r="G296" s="58"/>
      <c r="H296" s="58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8"/>
      <c r="U296" s="58"/>
      <c r="V296" s="58"/>
      <c r="W296" s="58"/>
      <c r="X296" s="58"/>
      <c r="Y296" s="58"/>
      <c r="Z296" s="58"/>
    </row>
    <row r="297" spans="1:26">
      <c r="A297" s="58"/>
      <c r="B297" s="58"/>
      <c r="C297" s="58"/>
      <c r="D297" s="58"/>
      <c r="E297" s="58"/>
      <c r="F297" s="58"/>
      <c r="G297" s="58"/>
      <c r="H297" s="58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8"/>
      <c r="U297" s="58"/>
      <c r="V297" s="58"/>
      <c r="W297" s="58"/>
      <c r="X297" s="58"/>
      <c r="Y297" s="58"/>
      <c r="Z297" s="58"/>
    </row>
    <row r="298" spans="1:26">
      <c r="A298" s="58"/>
      <c r="B298" s="58"/>
      <c r="C298" s="58"/>
      <c r="D298" s="58"/>
      <c r="E298" s="58"/>
      <c r="F298" s="58"/>
      <c r="G298" s="58"/>
      <c r="H298" s="58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8"/>
      <c r="U298" s="58"/>
      <c r="V298" s="58"/>
      <c r="W298" s="58"/>
      <c r="X298" s="58"/>
      <c r="Y298" s="58"/>
      <c r="Z298" s="58"/>
    </row>
    <row r="299" spans="1:26">
      <c r="A299" s="58"/>
      <c r="B299" s="58"/>
      <c r="C299" s="58"/>
      <c r="D299" s="58"/>
      <c r="E299" s="58"/>
      <c r="F299" s="58"/>
      <c r="G299" s="58"/>
      <c r="H299" s="58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8"/>
      <c r="U299" s="58"/>
      <c r="V299" s="58"/>
      <c r="W299" s="58"/>
      <c r="X299" s="58"/>
      <c r="Y299" s="58"/>
      <c r="Z299" s="58"/>
    </row>
    <row r="300" spans="1:26">
      <c r="A300" s="58"/>
      <c r="B300" s="58"/>
      <c r="C300" s="58"/>
      <c r="D300" s="58"/>
      <c r="E300" s="58"/>
      <c r="F300" s="58"/>
      <c r="G300" s="58"/>
      <c r="H300" s="58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8"/>
      <c r="U300" s="58"/>
      <c r="V300" s="58"/>
      <c r="W300" s="58"/>
      <c r="X300" s="58"/>
      <c r="Y300" s="58"/>
      <c r="Z300" s="58"/>
    </row>
    <row r="301" spans="1:26">
      <c r="A301" s="58"/>
      <c r="B301" s="58"/>
      <c r="C301" s="58"/>
      <c r="D301" s="58"/>
      <c r="E301" s="58"/>
      <c r="F301" s="58"/>
      <c r="G301" s="58"/>
      <c r="H301" s="58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8"/>
      <c r="U301" s="58"/>
      <c r="V301" s="58"/>
      <c r="W301" s="58"/>
      <c r="X301" s="58"/>
      <c r="Y301" s="58"/>
      <c r="Z301" s="58"/>
    </row>
    <row r="302" spans="1:26">
      <c r="A302" s="58"/>
      <c r="B302" s="58"/>
      <c r="C302" s="58"/>
      <c r="D302" s="58"/>
      <c r="E302" s="58"/>
      <c r="F302" s="58"/>
      <c r="G302" s="58"/>
      <c r="H302" s="58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8"/>
      <c r="U302" s="58"/>
      <c r="V302" s="58"/>
      <c r="W302" s="58"/>
      <c r="X302" s="58"/>
      <c r="Y302" s="58"/>
      <c r="Z302" s="58"/>
    </row>
    <row r="303" spans="1:26">
      <c r="A303" s="58"/>
      <c r="B303" s="58"/>
      <c r="C303" s="58"/>
      <c r="D303" s="58"/>
      <c r="E303" s="58"/>
      <c r="F303" s="58"/>
      <c r="G303" s="58"/>
      <c r="H303" s="58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8"/>
      <c r="U303" s="58"/>
      <c r="V303" s="58"/>
      <c r="W303" s="58"/>
      <c r="X303" s="58"/>
      <c r="Y303" s="58"/>
      <c r="Z303" s="58"/>
    </row>
    <row r="304" spans="1:26">
      <c r="A304" s="58"/>
      <c r="B304" s="58"/>
      <c r="C304" s="58"/>
      <c r="D304" s="58"/>
      <c r="E304" s="58"/>
      <c r="F304" s="58"/>
      <c r="G304" s="58"/>
      <c r="H304" s="58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8"/>
      <c r="U304" s="58"/>
      <c r="V304" s="58"/>
      <c r="W304" s="58"/>
      <c r="X304" s="58"/>
      <c r="Y304" s="58"/>
      <c r="Z304" s="58"/>
    </row>
    <row r="305" spans="1:26">
      <c r="A305" s="58"/>
      <c r="B305" s="58"/>
      <c r="C305" s="58"/>
      <c r="D305" s="58"/>
      <c r="E305" s="58"/>
      <c r="F305" s="58"/>
      <c r="G305" s="58"/>
      <c r="H305" s="58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8"/>
      <c r="U305" s="58"/>
      <c r="V305" s="58"/>
      <c r="W305" s="58"/>
      <c r="X305" s="58"/>
      <c r="Y305" s="58"/>
      <c r="Z305" s="58"/>
    </row>
    <row r="306" spans="1:26">
      <c r="A306" s="58"/>
      <c r="B306" s="58"/>
      <c r="C306" s="58"/>
      <c r="D306" s="58"/>
      <c r="E306" s="58"/>
      <c r="F306" s="58"/>
      <c r="G306" s="58"/>
      <c r="H306" s="58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8"/>
      <c r="U306" s="58"/>
      <c r="V306" s="58"/>
      <c r="W306" s="58"/>
      <c r="X306" s="58"/>
      <c r="Y306" s="58"/>
      <c r="Z306" s="58"/>
    </row>
    <row r="307" spans="1:26">
      <c r="A307" s="58"/>
      <c r="B307" s="58"/>
      <c r="C307" s="58"/>
      <c r="D307" s="58"/>
      <c r="E307" s="58"/>
      <c r="F307" s="58"/>
      <c r="G307" s="58"/>
      <c r="H307" s="58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8"/>
      <c r="U307" s="58"/>
      <c r="V307" s="58"/>
      <c r="W307" s="58"/>
      <c r="X307" s="58"/>
      <c r="Y307" s="58"/>
      <c r="Z307" s="58"/>
    </row>
    <row r="308" spans="1:26">
      <c r="A308" s="58"/>
      <c r="B308" s="58"/>
      <c r="C308" s="58"/>
      <c r="D308" s="58"/>
      <c r="E308" s="58"/>
      <c r="F308" s="58"/>
      <c r="G308" s="58"/>
      <c r="H308" s="58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8"/>
      <c r="U308" s="58"/>
      <c r="V308" s="58"/>
      <c r="W308" s="58"/>
      <c r="X308" s="58"/>
      <c r="Y308" s="58"/>
      <c r="Z308" s="58"/>
    </row>
    <row r="309" spans="1:26">
      <c r="A309" s="58"/>
      <c r="B309" s="58"/>
      <c r="C309" s="58"/>
      <c r="D309" s="58"/>
      <c r="E309" s="58"/>
      <c r="F309" s="58"/>
      <c r="G309" s="58"/>
      <c r="H309" s="58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8"/>
      <c r="U309" s="58"/>
      <c r="V309" s="58"/>
      <c r="W309" s="58"/>
      <c r="X309" s="58"/>
      <c r="Y309" s="58"/>
      <c r="Z309" s="58"/>
    </row>
    <row r="310" spans="1:26">
      <c r="A310" s="58"/>
      <c r="B310" s="58"/>
      <c r="C310" s="58"/>
      <c r="D310" s="58"/>
      <c r="E310" s="58"/>
      <c r="F310" s="58"/>
      <c r="G310" s="58"/>
      <c r="H310" s="58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8"/>
      <c r="U310" s="58"/>
      <c r="V310" s="58"/>
      <c r="W310" s="58"/>
      <c r="X310" s="58"/>
      <c r="Y310" s="58"/>
      <c r="Z310" s="58"/>
    </row>
    <row r="311" spans="1:26">
      <c r="A311" s="58"/>
      <c r="B311" s="58"/>
      <c r="C311" s="58"/>
      <c r="D311" s="58"/>
      <c r="E311" s="58"/>
      <c r="F311" s="58"/>
      <c r="G311" s="58"/>
      <c r="H311" s="58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8"/>
      <c r="U311" s="58"/>
      <c r="V311" s="58"/>
      <c r="W311" s="58"/>
      <c r="X311" s="58"/>
      <c r="Y311" s="58"/>
      <c r="Z311" s="58"/>
    </row>
    <row r="312" spans="1:26">
      <c r="A312" s="58"/>
      <c r="B312" s="58"/>
      <c r="C312" s="58"/>
      <c r="D312" s="58"/>
      <c r="E312" s="58"/>
      <c r="F312" s="58"/>
      <c r="G312" s="58"/>
      <c r="H312" s="58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8"/>
      <c r="U312" s="58"/>
      <c r="V312" s="58"/>
      <c r="W312" s="58"/>
      <c r="X312" s="58"/>
      <c r="Y312" s="58"/>
      <c r="Z312" s="58"/>
    </row>
    <row r="313" spans="1:26">
      <c r="A313" s="58"/>
      <c r="B313" s="58"/>
      <c r="C313" s="58"/>
      <c r="D313" s="58"/>
      <c r="E313" s="58"/>
      <c r="F313" s="58"/>
      <c r="G313" s="58"/>
      <c r="H313" s="58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8"/>
      <c r="U313" s="58"/>
      <c r="V313" s="58"/>
      <c r="W313" s="58"/>
      <c r="X313" s="58"/>
      <c r="Y313" s="58"/>
      <c r="Z313" s="58"/>
    </row>
    <row r="314" spans="1:26">
      <c r="A314" s="58"/>
      <c r="B314" s="58"/>
      <c r="C314" s="58"/>
      <c r="D314" s="58"/>
      <c r="E314" s="58"/>
      <c r="F314" s="58"/>
      <c r="G314" s="58"/>
      <c r="H314" s="58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8"/>
      <c r="U314" s="58"/>
      <c r="V314" s="58"/>
      <c r="W314" s="58"/>
      <c r="X314" s="58"/>
      <c r="Y314" s="58"/>
      <c r="Z314" s="58"/>
    </row>
    <row r="315" spans="1:26">
      <c r="A315" s="58"/>
      <c r="B315" s="58"/>
      <c r="C315" s="58"/>
      <c r="D315" s="58"/>
      <c r="E315" s="58"/>
      <c r="F315" s="58"/>
      <c r="G315" s="58"/>
      <c r="H315" s="58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8"/>
      <c r="U315" s="58"/>
      <c r="V315" s="58"/>
      <c r="W315" s="58"/>
      <c r="X315" s="58"/>
      <c r="Y315" s="58"/>
      <c r="Z315" s="58"/>
    </row>
    <row r="316" spans="1:26">
      <c r="A316" s="58"/>
      <c r="B316" s="58"/>
      <c r="C316" s="58"/>
      <c r="D316" s="58"/>
      <c r="E316" s="58"/>
      <c r="F316" s="58"/>
      <c r="G316" s="58"/>
      <c r="H316" s="58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8"/>
      <c r="U316" s="58"/>
      <c r="V316" s="58"/>
      <c r="W316" s="58"/>
      <c r="X316" s="58"/>
      <c r="Y316" s="58"/>
      <c r="Z316" s="58"/>
    </row>
    <row r="317" spans="1:26">
      <c r="A317" s="58"/>
      <c r="B317" s="58"/>
      <c r="C317" s="58"/>
      <c r="D317" s="58"/>
      <c r="E317" s="58"/>
      <c r="F317" s="58"/>
      <c r="G317" s="58"/>
      <c r="H317" s="58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8"/>
      <c r="U317" s="58"/>
      <c r="V317" s="58"/>
      <c r="W317" s="58"/>
      <c r="X317" s="58"/>
      <c r="Y317" s="58"/>
      <c r="Z317" s="58"/>
    </row>
    <row r="318" spans="1:26">
      <c r="A318" s="58"/>
      <c r="B318" s="58"/>
      <c r="C318" s="58"/>
      <c r="D318" s="58"/>
      <c r="E318" s="58"/>
      <c r="F318" s="58"/>
      <c r="G318" s="58"/>
      <c r="H318" s="58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8"/>
      <c r="U318" s="58"/>
      <c r="V318" s="58"/>
      <c r="W318" s="58"/>
      <c r="X318" s="58"/>
      <c r="Y318" s="58"/>
      <c r="Z318" s="58"/>
    </row>
    <row r="319" spans="1:26">
      <c r="A319" s="58"/>
      <c r="B319" s="58"/>
      <c r="C319" s="58"/>
      <c r="D319" s="58"/>
      <c r="E319" s="58"/>
      <c r="F319" s="58"/>
      <c r="G319" s="58"/>
      <c r="H319" s="58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8"/>
      <c r="U319" s="58"/>
      <c r="V319" s="58"/>
      <c r="W319" s="58"/>
      <c r="X319" s="58"/>
      <c r="Y319" s="58"/>
      <c r="Z319" s="58"/>
    </row>
    <row r="320" spans="1:26">
      <c r="A320" s="58"/>
      <c r="B320" s="58"/>
      <c r="C320" s="58"/>
      <c r="D320" s="58"/>
      <c r="E320" s="58"/>
      <c r="F320" s="58"/>
      <c r="G320" s="58"/>
      <c r="H320" s="58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8"/>
      <c r="U320" s="58"/>
      <c r="V320" s="58"/>
      <c r="W320" s="58"/>
      <c r="X320" s="58"/>
      <c r="Y320" s="58"/>
      <c r="Z320" s="58"/>
    </row>
    <row r="321" spans="1:26">
      <c r="A321" s="58"/>
      <c r="B321" s="58"/>
      <c r="C321" s="58"/>
      <c r="D321" s="58"/>
      <c r="E321" s="58"/>
      <c r="F321" s="58"/>
      <c r="G321" s="58"/>
      <c r="H321" s="58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8"/>
      <c r="U321" s="58"/>
      <c r="V321" s="58"/>
      <c r="W321" s="58"/>
      <c r="X321" s="58"/>
      <c r="Y321" s="58"/>
      <c r="Z321" s="58"/>
    </row>
    <row r="322" spans="1:26">
      <c r="A322" s="58"/>
      <c r="B322" s="58"/>
      <c r="C322" s="58"/>
      <c r="D322" s="58"/>
      <c r="E322" s="58"/>
      <c r="F322" s="58"/>
      <c r="G322" s="58"/>
      <c r="H322" s="58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8"/>
      <c r="U322" s="58"/>
      <c r="V322" s="58"/>
      <c r="W322" s="58"/>
      <c r="X322" s="58"/>
      <c r="Y322" s="58"/>
      <c r="Z322" s="58"/>
    </row>
    <row r="323" spans="1:26">
      <c r="A323" s="58"/>
      <c r="B323" s="58"/>
      <c r="C323" s="58"/>
      <c r="D323" s="58"/>
      <c r="E323" s="58"/>
      <c r="F323" s="58"/>
      <c r="G323" s="58"/>
      <c r="H323" s="58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8"/>
      <c r="U323" s="58"/>
      <c r="V323" s="58"/>
      <c r="W323" s="58"/>
      <c r="X323" s="58"/>
      <c r="Y323" s="58"/>
      <c r="Z323" s="58"/>
    </row>
    <row r="324" spans="1:26">
      <c r="A324" s="58"/>
      <c r="B324" s="58"/>
      <c r="C324" s="58"/>
      <c r="D324" s="58"/>
      <c r="E324" s="58"/>
      <c r="F324" s="58"/>
      <c r="G324" s="58"/>
      <c r="H324" s="58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8"/>
      <c r="U324" s="58"/>
      <c r="V324" s="58"/>
      <c r="W324" s="58"/>
      <c r="X324" s="58"/>
      <c r="Y324" s="58"/>
      <c r="Z324" s="58"/>
    </row>
    <row r="325" spans="1:26">
      <c r="A325" s="58"/>
      <c r="B325" s="58"/>
      <c r="C325" s="58"/>
      <c r="D325" s="58"/>
      <c r="E325" s="58"/>
      <c r="F325" s="58"/>
      <c r="G325" s="58"/>
      <c r="H325" s="58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8"/>
      <c r="U325" s="58"/>
      <c r="V325" s="58"/>
      <c r="W325" s="58"/>
      <c r="X325" s="58"/>
      <c r="Y325" s="58"/>
      <c r="Z325" s="58"/>
    </row>
    <row r="326" spans="1:26">
      <c r="A326" s="58"/>
      <c r="B326" s="58"/>
      <c r="C326" s="58"/>
      <c r="D326" s="58"/>
      <c r="E326" s="58"/>
      <c r="F326" s="58"/>
      <c r="G326" s="58"/>
      <c r="H326" s="58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8"/>
      <c r="U326" s="58"/>
      <c r="V326" s="58"/>
      <c r="W326" s="58"/>
      <c r="X326" s="58"/>
      <c r="Y326" s="58"/>
      <c r="Z326" s="58"/>
    </row>
    <row r="327" spans="1:26">
      <c r="A327" s="58"/>
      <c r="B327" s="58"/>
      <c r="C327" s="58"/>
      <c r="D327" s="58"/>
      <c r="E327" s="58"/>
      <c r="F327" s="58"/>
      <c r="G327" s="58"/>
      <c r="H327" s="58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8"/>
      <c r="U327" s="58"/>
      <c r="V327" s="58"/>
      <c r="W327" s="58"/>
      <c r="X327" s="58"/>
      <c r="Y327" s="58"/>
      <c r="Z327" s="58"/>
    </row>
    <row r="328" spans="1:26">
      <c r="A328" s="58"/>
      <c r="B328" s="58"/>
      <c r="C328" s="58"/>
      <c r="D328" s="58"/>
      <c r="E328" s="58"/>
      <c r="F328" s="58"/>
      <c r="G328" s="58"/>
      <c r="H328" s="58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8"/>
      <c r="U328" s="58"/>
      <c r="V328" s="58"/>
      <c r="W328" s="58"/>
      <c r="X328" s="58"/>
      <c r="Y328" s="58"/>
      <c r="Z328" s="58"/>
    </row>
    <row r="329" spans="1:26">
      <c r="A329" s="58"/>
      <c r="B329" s="58"/>
      <c r="C329" s="58"/>
      <c r="D329" s="58"/>
      <c r="E329" s="58"/>
      <c r="F329" s="58"/>
      <c r="G329" s="58"/>
      <c r="H329" s="58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8"/>
      <c r="U329" s="58"/>
      <c r="V329" s="58"/>
      <c r="W329" s="58"/>
      <c r="X329" s="58"/>
      <c r="Y329" s="58"/>
      <c r="Z329" s="58"/>
    </row>
    <row r="330" spans="1:26">
      <c r="A330" s="58"/>
      <c r="B330" s="58"/>
      <c r="C330" s="58"/>
      <c r="D330" s="58"/>
      <c r="E330" s="58"/>
      <c r="F330" s="58"/>
      <c r="G330" s="58"/>
      <c r="H330" s="58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8"/>
      <c r="U330" s="58"/>
      <c r="V330" s="58"/>
      <c r="W330" s="58"/>
      <c r="X330" s="58"/>
      <c r="Y330" s="58"/>
      <c r="Z330" s="58"/>
    </row>
    <row r="331" spans="1:26">
      <c r="A331" s="58"/>
      <c r="B331" s="58"/>
      <c r="C331" s="58"/>
      <c r="D331" s="58"/>
      <c r="E331" s="58"/>
      <c r="F331" s="58"/>
      <c r="G331" s="58"/>
      <c r="H331" s="58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8"/>
      <c r="U331" s="58"/>
      <c r="V331" s="58"/>
      <c r="W331" s="58"/>
      <c r="X331" s="58"/>
      <c r="Y331" s="58"/>
      <c r="Z331" s="58"/>
    </row>
    <row r="332" spans="1:26">
      <c r="A332" s="58"/>
      <c r="B332" s="58"/>
      <c r="C332" s="58"/>
      <c r="D332" s="58"/>
      <c r="E332" s="58"/>
      <c r="F332" s="58"/>
      <c r="G332" s="58"/>
      <c r="H332" s="58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8"/>
      <c r="U332" s="58"/>
      <c r="V332" s="58"/>
      <c r="W332" s="58"/>
      <c r="X332" s="58"/>
      <c r="Y332" s="58"/>
      <c r="Z332" s="58"/>
    </row>
    <row r="333" spans="1:26">
      <c r="A333" s="58"/>
      <c r="B333" s="58"/>
      <c r="C333" s="58"/>
      <c r="D333" s="58"/>
      <c r="E333" s="58"/>
      <c r="F333" s="58"/>
      <c r="G333" s="58"/>
      <c r="H333" s="58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8"/>
      <c r="U333" s="58"/>
      <c r="V333" s="58"/>
      <c r="W333" s="58"/>
      <c r="X333" s="58"/>
      <c r="Y333" s="58"/>
      <c r="Z333" s="58"/>
    </row>
    <row r="334" spans="1:26">
      <c r="A334" s="58"/>
      <c r="B334" s="58"/>
      <c r="C334" s="58"/>
      <c r="D334" s="58"/>
      <c r="E334" s="58"/>
      <c r="F334" s="58"/>
      <c r="G334" s="58"/>
      <c r="H334" s="58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8"/>
      <c r="U334" s="58"/>
      <c r="V334" s="58"/>
      <c r="W334" s="58"/>
      <c r="X334" s="58"/>
      <c r="Y334" s="58"/>
      <c r="Z334" s="58"/>
    </row>
    <row r="335" spans="1:26">
      <c r="A335" s="58"/>
      <c r="B335" s="58"/>
      <c r="C335" s="58"/>
      <c r="D335" s="58"/>
      <c r="E335" s="58"/>
      <c r="F335" s="58"/>
      <c r="G335" s="58"/>
      <c r="H335" s="58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8"/>
      <c r="U335" s="58"/>
      <c r="V335" s="58"/>
      <c r="W335" s="58"/>
      <c r="X335" s="58"/>
      <c r="Y335" s="58"/>
      <c r="Z335" s="58"/>
    </row>
    <row r="336" spans="1:26">
      <c r="A336" s="58"/>
      <c r="B336" s="58"/>
      <c r="C336" s="58"/>
      <c r="D336" s="58"/>
      <c r="E336" s="58"/>
      <c r="F336" s="58"/>
      <c r="G336" s="58"/>
      <c r="H336" s="58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8"/>
      <c r="U336" s="58"/>
      <c r="V336" s="58"/>
      <c r="W336" s="58"/>
      <c r="X336" s="58"/>
      <c r="Y336" s="58"/>
      <c r="Z336" s="58"/>
    </row>
    <row r="337" spans="1:26">
      <c r="A337" s="58"/>
      <c r="B337" s="58"/>
      <c r="C337" s="58"/>
      <c r="D337" s="58"/>
      <c r="E337" s="58"/>
      <c r="F337" s="58"/>
      <c r="G337" s="58"/>
      <c r="H337" s="58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8"/>
      <c r="U337" s="58"/>
      <c r="V337" s="58"/>
      <c r="W337" s="58"/>
      <c r="X337" s="58"/>
      <c r="Y337" s="58"/>
      <c r="Z337" s="58"/>
    </row>
    <row r="338" spans="1:26">
      <c r="A338" s="58"/>
      <c r="B338" s="58"/>
      <c r="C338" s="58"/>
      <c r="D338" s="58"/>
      <c r="E338" s="58"/>
      <c r="F338" s="58"/>
      <c r="G338" s="58"/>
      <c r="H338" s="58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8"/>
      <c r="U338" s="58"/>
      <c r="V338" s="58"/>
      <c r="W338" s="58"/>
      <c r="X338" s="58"/>
      <c r="Y338" s="58"/>
      <c r="Z338" s="58"/>
    </row>
    <row r="339" spans="1:26">
      <c r="A339" s="58"/>
      <c r="B339" s="58"/>
      <c r="C339" s="58"/>
      <c r="D339" s="58"/>
      <c r="E339" s="58"/>
      <c r="F339" s="58"/>
      <c r="G339" s="58"/>
      <c r="H339" s="58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8"/>
      <c r="U339" s="58"/>
      <c r="V339" s="58"/>
      <c r="W339" s="58"/>
      <c r="X339" s="58"/>
      <c r="Y339" s="58"/>
      <c r="Z339" s="58"/>
    </row>
    <row r="340" spans="1:26">
      <c r="A340" s="58"/>
      <c r="B340" s="58"/>
      <c r="C340" s="58"/>
      <c r="D340" s="58"/>
      <c r="E340" s="58"/>
      <c r="F340" s="58"/>
      <c r="G340" s="58"/>
      <c r="H340" s="58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8"/>
      <c r="U340" s="58"/>
      <c r="V340" s="58"/>
      <c r="W340" s="58"/>
      <c r="X340" s="58"/>
      <c r="Y340" s="58"/>
      <c r="Z340" s="58"/>
    </row>
    <row r="341" spans="1:26">
      <c r="A341" s="58"/>
      <c r="B341" s="58"/>
      <c r="C341" s="58"/>
      <c r="D341" s="58"/>
      <c r="E341" s="58"/>
      <c r="F341" s="58"/>
      <c r="G341" s="58"/>
      <c r="H341" s="58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8"/>
      <c r="U341" s="58"/>
      <c r="V341" s="58"/>
      <c r="W341" s="58"/>
      <c r="X341" s="58"/>
      <c r="Y341" s="58"/>
      <c r="Z341" s="58"/>
    </row>
    <row r="342" spans="1:26">
      <c r="A342" s="58"/>
      <c r="B342" s="58"/>
      <c r="C342" s="58"/>
      <c r="D342" s="58"/>
      <c r="E342" s="58"/>
      <c r="F342" s="58"/>
      <c r="G342" s="58"/>
      <c r="H342" s="58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8"/>
      <c r="U342" s="58"/>
      <c r="V342" s="58"/>
      <c r="W342" s="58"/>
      <c r="X342" s="58"/>
      <c r="Y342" s="58"/>
      <c r="Z342" s="58"/>
    </row>
    <row r="343" spans="1:26">
      <c r="A343" s="58"/>
      <c r="B343" s="58"/>
      <c r="C343" s="58"/>
      <c r="D343" s="58"/>
      <c r="E343" s="58"/>
      <c r="F343" s="58"/>
      <c r="G343" s="58"/>
      <c r="H343" s="58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8"/>
      <c r="U343" s="58"/>
      <c r="V343" s="58"/>
      <c r="W343" s="58"/>
      <c r="X343" s="58"/>
      <c r="Y343" s="58"/>
      <c r="Z343" s="58"/>
    </row>
    <row r="344" spans="1:26">
      <c r="A344" s="58"/>
      <c r="B344" s="58"/>
      <c r="C344" s="58"/>
      <c r="D344" s="58"/>
      <c r="E344" s="58"/>
      <c r="F344" s="58"/>
      <c r="G344" s="58"/>
      <c r="H344" s="58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8"/>
      <c r="U344" s="58"/>
      <c r="V344" s="58"/>
      <c r="W344" s="58"/>
      <c r="X344" s="58"/>
      <c r="Y344" s="58"/>
      <c r="Z344" s="58"/>
    </row>
    <row r="345" spans="1:26">
      <c r="A345" s="58"/>
      <c r="B345" s="58"/>
      <c r="C345" s="58"/>
      <c r="D345" s="58"/>
      <c r="E345" s="58"/>
      <c r="F345" s="58"/>
      <c r="G345" s="58"/>
      <c r="H345" s="58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8"/>
      <c r="U345" s="58"/>
      <c r="V345" s="58"/>
      <c r="W345" s="58"/>
      <c r="X345" s="58"/>
      <c r="Y345" s="58"/>
      <c r="Z345" s="58"/>
    </row>
    <row r="346" spans="1:26">
      <c r="A346" s="58"/>
      <c r="B346" s="58"/>
      <c r="C346" s="58"/>
      <c r="D346" s="58"/>
      <c r="E346" s="58"/>
      <c r="F346" s="58"/>
      <c r="G346" s="58"/>
      <c r="H346" s="58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8"/>
      <c r="U346" s="58"/>
      <c r="V346" s="58"/>
      <c r="W346" s="58"/>
      <c r="X346" s="58"/>
      <c r="Y346" s="58"/>
      <c r="Z346" s="58"/>
    </row>
    <row r="347" spans="1:26">
      <c r="A347" s="58"/>
      <c r="B347" s="58"/>
      <c r="C347" s="58"/>
      <c r="D347" s="58"/>
      <c r="E347" s="58"/>
      <c r="F347" s="58"/>
      <c r="G347" s="58"/>
      <c r="H347" s="58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8"/>
      <c r="U347" s="58"/>
      <c r="V347" s="58"/>
      <c r="W347" s="58"/>
      <c r="X347" s="58"/>
      <c r="Y347" s="58"/>
      <c r="Z347" s="58"/>
    </row>
    <row r="348" spans="1:26">
      <c r="A348" s="58"/>
      <c r="B348" s="58"/>
      <c r="C348" s="58"/>
      <c r="D348" s="58"/>
      <c r="E348" s="58"/>
      <c r="F348" s="58"/>
      <c r="G348" s="58"/>
      <c r="H348" s="58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8"/>
      <c r="U348" s="58"/>
      <c r="V348" s="58"/>
      <c r="W348" s="58"/>
      <c r="X348" s="58"/>
      <c r="Y348" s="58"/>
      <c r="Z348" s="58"/>
    </row>
    <row r="349" spans="1:26">
      <c r="A349" s="58"/>
      <c r="B349" s="58"/>
      <c r="C349" s="58"/>
      <c r="D349" s="58"/>
      <c r="E349" s="58"/>
      <c r="F349" s="58"/>
      <c r="G349" s="58"/>
      <c r="H349" s="58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8"/>
      <c r="U349" s="58"/>
      <c r="V349" s="58"/>
      <c r="W349" s="58"/>
      <c r="X349" s="58"/>
      <c r="Y349" s="58"/>
      <c r="Z349" s="58"/>
    </row>
    <row r="350" spans="1:26">
      <c r="A350" s="58"/>
      <c r="B350" s="58"/>
      <c r="C350" s="58"/>
      <c r="D350" s="58"/>
      <c r="E350" s="58"/>
      <c r="F350" s="58"/>
      <c r="G350" s="58"/>
      <c r="H350" s="58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8"/>
      <c r="U350" s="58"/>
      <c r="V350" s="58"/>
      <c r="W350" s="58"/>
      <c r="X350" s="58"/>
      <c r="Y350" s="58"/>
      <c r="Z350" s="58"/>
    </row>
    <row r="351" spans="1:26">
      <c r="A351" s="58"/>
      <c r="B351" s="58"/>
      <c r="C351" s="58"/>
      <c r="D351" s="58"/>
      <c r="E351" s="58"/>
      <c r="F351" s="58"/>
      <c r="G351" s="58"/>
      <c r="H351" s="58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8"/>
      <c r="U351" s="58"/>
      <c r="V351" s="58"/>
      <c r="W351" s="58"/>
      <c r="X351" s="58"/>
      <c r="Y351" s="58"/>
      <c r="Z351" s="58"/>
    </row>
    <row r="352" spans="1:26">
      <c r="A352" s="58"/>
      <c r="B352" s="58"/>
      <c r="C352" s="58"/>
      <c r="D352" s="58"/>
      <c r="E352" s="58"/>
      <c r="F352" s="58"/>
      <c r="G352" s="58"/>
      <c r="H352" s="58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8"/>
      <c r="U352" s="58"/>
      <c r="V352" s="58"/>
      <c r="W352" s="58"/>
      <c r="X352" s="58"/>
      <c r="Y352" s="58"/>
      <c r="Z352" s="58"/>
    </row>
    <row r="353" spans="1:26">
      <c r="A353" s="58"/>
      <c r="B353" s="58"/>
      <c r="C353" s="58"/>
      <c r="D353" s="58"/>
      <c r="E353" s="58"/>
      <c r="F353" s="58"/>
      <c r="G353" s="58"/>
      <c r="H353" s="58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8"/>
      <c r="U353" s="58"/>
      <c r="V353" s="58"/>
      <c r="W353" s="58"/>
      <c r="X353" s="58"/>
      <c r="Y353" s="58"/>
      <c r="Z353" s="58"/>
    </row>
    <row r="354" spans="1:26">
      <c r="A354" s="58"/>
      <c r="B354" s="58"/>
      <c r="C354" s="58"/>
      <c r="D354" s="58"/>
      <c r="E354" s="58"/>
      <c r="F354" s="58"/>
      <c r="G354" s="58"/>
      <c r="H354" s="58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8"/>
      <c r="U354" s="58"/>
      <c r="V354" s="58"/>
      <c r="W354" s="58"/>
      <c r="X354" s="58"/>
      <c r="Y354" s="58"/>
      <c r="Z354" s="58"/>
    </row>
    <row r="355" spans="1:26">
      <c r="A355" s="58"/>
      <c r="B355" s="58"/>
      <c r="C355" s="58"/>
      <c r="D355" s="58"/>
      <c r="E355" s="58"/>
      <c r="F355" s="58"/>
      <c r="G355" s="58"/>
      <c r="H355" s="58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8"/>
      <c r="U355" s="58"/>
      <c r="V355" s="58"/>
      <c r="W355" s="58"/>
      <c r="X355" s="58"/>
      <c r="Y355" s="58"/>
      <c r="Z355" s="58"/>
    </row>
    <row r="356" spans="1:26">
      <c r="A356" s="58"/>
      <c r="B356" s="58"/>
      <c r="C356" s="58"/>
      <c r="D356" s="58"/>
      <c r="E356" s="58"/>
      <c r="F356" s="58"/>
      <c r="G356" s="58"/>
      <c r="H356" s="58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8"/>
      <c r="U356" s="58"/>
      <c r="V356" s="58"/>
      <c r="W356" s="58"/>
      <c r="X356" s="58"/>
      <c r="Y356" s="58"/>
      <c r="Z356" s="58"/>
    </row>
    <row r="357" spans="1:26">
      <c r="A357" s="58"/>
      <c r="B357" s="58"/>
      <c r="C357" s="58"/>
      <c r="D357" s="58"/>
      <c r="E357" s="58"/>
      <c r="F357" s="58"/>
      <c r="G357" s="58"/>
      <c r="H357" s="58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8"/>
      <c r="U357" s="58"/>
      <c r="V357" s="58"/>
      <c r="W357" s="58"/>
      <c r="X357" s="58"/>
      <c r="Y357" s="58"/>
      <c r="Z357" s="58"/>
    </row>
    <row r="358" spans="1:26">
      <c r="A358" s="58"/>
      <c r="B358" s="58"/>
      <c r="C358" s="58"/>
      <c r="D358" s="58"/>
      <c r="E358" s="58"/>
      <c r="F358" s="58"/>
      <c r="G358" s="58"/>
      <c r="H358" s="58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8"/>
      <c r="U358" s="58"/>
      <c r="V358" s="58"/>
      <c r="W358" s="58"/>
      <c r="X358" s="58"/>
      <c r="Y358" s="58"/>
      <c r="Z358" s="58"/>
    </row>
    <row r="359" spans="1:26">
      <c r="A359" s="58"/>
      <c r="B359" s="58"/>
      <c r="C359" s="58"/>
      <c r="D359" s="58"/>
      <c r="E359" s="58"/>
      <c r="F359" s="58"/>
      <c r="G359" s="58"/>
      <c r="H359" s="58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8"/>
      <c r="U359" s="58"/>
      <c r="V359" s="58"/>
      <c r="W359" s="58"/>
      <c r="X359" s="58"/>
      <c r="Y359" s="58"/>
      <c r="Z359" s="58"/>
    </row>
    <row r="360" spans="1:26">
      <c r="A360" s="58"/>
      <c r="B360" s="58"/>
      <c r="C360" s="58"/>
      <c r="D360" s="58"/>
      <c r="E360" s="58"/>
      <c r="F360" s="58"/>
      <c r="G360" s="58"/>
      <c r="H360" s="58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8"/>
      <c r="U360" s="58"/>
      <c r="V360" s="58"/>
      <c r="W360" s="58"/>
      <c r="X360" s="58"/>
      <c r="Y360" s="58"/>
      <c r="Z360" s="58"/>
    </row>
    <row r="361" spans="1:26">
      <c r="A361" s="58"/>
      <c r="B361" s="58"/>
      <c r="C361" s="58"/>
      <c r="D361" s="58"/>
      <c r="E361" s="58"/>
      <c r="F361" s="58"/>
      <c r="G361" s="58"/>
      <c r="H361" s="58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8"/>
      <c r="U361" s="58"/>
      <c r="V361" s="58"/>
      <c r="W361" s="58"/>
      <c r="X361" s="58"/>
      <c r="Y361" s="58"/>
      <c r="Z361" s="58"/>
    </row>
    <row r="362" spans="1:26">
      <c r="A362" s="58"/>
      <c r="B362" s="58"/>
      <c r="C362" s="58"/>
      <c r="D362" s="58"/>
      <c r="E362" s="58"/>
      <c r="F362" s="58"/>
      <c r="G362" s="58"/>
      <c r="H362" s="58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8"/>
      <c r="U362" s="58"/>
      <c r="V362" s="58"/>
      <c r="W362" s="58"/>
      <c r="X362" s="58"/>
      <c r="Y362" s="58"/>
      <c r="Z362" s="58"/>
    </row>
    <row r="363" spans="1:26">
      <c r="A363" s="58"/>
      <c r="B363" s="58"/>
      <c r="C363" s="58"/>
      <c r="D363" s="58"/>
      <c r="E363" s="58"/>
      <c r="F363" s="58"/>
      <c r="G363" s="58"/>
      <c r="H363" s="58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8"/>
      <c r="U363" s="58"/>
      <c r="V363" s="58"/>
      <c r="W363" s="58"/>
      <c r="X363" s="58"/>
      <c r="Y363" s="58"/>
      <c r="Z363" s="58"/>
    </row>
    <row r="364" spans="1:26">
      <c r="A364" s="58"/>
      <c r="B364" s="58"/>
      <c r="C364" s="58"/>
      <c r="D364" s="58"/>
      <c r="E364" s="58"/>
      <c r="F364" s="58"/>
      <c r="G364" s="58"/>
      <c r="H364" s="58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8"/>
      <c r="U364" s="58"/>
      <c r="V364" s="58"/>
      <c r="W364" s="58"/>
      <c r="X364" s="58"/>
      <c r="Y364" s="58"/>
      <c r="Z364" s="58"/>
    </row>
    <row r="365" spans="1:26">
      <c r="A365" s="58"/>
      <c r="B365" s="58"/>
      <c r="C365" s="58"/>
      <c r="D365" s="58"/>
      <c r="E365" s="58"/>
      <c r="F365" s="58"/>
      <c r="G365" s="58"/>
      <c r="H365" s="58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8"/>
      <c r="U365" s="58"/>
      <c r="V365" s="58"/>
      <c r="W365" s="58"/>
      <c r="X365" s="58"/>
      <c r="Y365" s="58"/>
      <c r="Z365" s="58"/>
    </row>
    <row r="366" spans="1:26">
      <c r="A366" s="58"/>
      <c r="B366" s="58"/>
      <c r="C366" s="58"/>
      <c r="D366" s="58"/>
      <c r="E366" s="58"/>
      <c r="F366" s="58"/>
      <c r="G366" s="58"/>
      <c r="H366" s="58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8"/>
      <c r="U366" s="58"/>
      <c r="V366" s="58"/>
      <c r="W366" s="58"/>
      <c r="X366" s="58"/>
      <c r="Y366" s="58"/>
      <c r="Z366" s="58"/>
    </row>
    <row r="367" spans="1:26">
      <c r="A367" s="58"/>
      <c r="B367" s="58"/>
      <c r="C367" s="58"/>
      <c r="D367" s="58"/>
      <c r="E367" s="58"/>
      <c r="F367" s="58"/>
      <c r="G367" s="58"/>
      <c r="H367" s="58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8"/>
      <c r="U367" s="58"/>
      <c r="V367" s="58"/>
      <c r="W367" s="58"/>
      <c r="X367" s="58"/>
      <c r="Y367" s="58"/>
      <c r="Z367" s="58"/>
    </row>
    <row r="368" spans="1:26">
      <c r="A368" s="58"/>
      <c r="B368" s="58"/>
      <c r="C368" s="58"/>
      <c r="D368" s="58"/>
      <c r="E368" s="58"/>
      <c r="F368" s="58"/>
      <c r="G368" s="58"/>
      <c r="H368" s="58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8"/>
      <c r="U368" s="58"/>
      <c r="V368" s="58"/>
      <c r="W368" s="58"/>
      <c r="X368" s="58"/>
      <c r="Y368" s="58"/>
      <c r="Z368" s="58"/>
    </row>
    <row r="369" spans="1:26">
      <c r="A369" s="58"/>
      <c r="B369" s="58"/>
      <c r="C369" s="58"/>
      <c r="D369" s="58"/>
      <c r="E369" s="58"/>
      <c r="F369" s="58"/>
      <c r="G369" s="58"/>
      <c r="H369" s="58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8"/>
      <c r="U369" s="58"/>
      <c r="V369" s="58"/>
      <c r="W369" s="58"/>
      <c r="X369" s="58"/>
      <c r="Y369" s="58"/>
      <c r="Z369" s="58"/>
    </row>
    <row r="370" spans="1:26">
      <c r="A370" s="58"/>
      <c r="B370" s="58"/>
      <c r="C370" s="58"/>
      <c r="D370" s="58"/>
      <c r="E370" s="58"/>
      <c r="F370" s="58"/>
      <c r="G370" s="58"/>
      <c r="H370" s="58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8"/>
      <c r="U370" s="58"/>
      <c r="V370" s="58"/>
      <c r="W370" s="58"/>
      <c r="X370" s="58"/>
      <c r="Y370" s="58"/>
      <c r="Z370" s="58"/>
    </row>
    <row r="371" spans="1:26">
      <c r="A371" s="58"/>
      <c r="B371" s="58"/>
      <c r="C371" s="58"/>
      <c r="D371" s="58"/>
      <c r="E371" s="58"/>
      <c r="F371" s="58"/>
      <c r="G371" s="58"/>
      <c r="H371" s="58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8"/>
      <c r="U371" s="58"/>
      <c r="V371" s="58"/>
      <c r="W371" s="58"/>
      <c r="X371" s="58"/>
      <c r="Y371" s="58"/>
      <c r="Z371" s="58"/>
    </row>
    <row r="372" spans="1:26">
      <c r="A372" s="58"/>
      <c r="B372" s="58"/>
      <c r="C372" s="58"/>
      <c r="D372" s="58"/>
      <c r="E372" s="58"/>
      <c r="F372" s="58"/>
      <c r="G372" s="58"/>
      <c r="H372" s="58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8"/>
      <c r="U372" s="58"/>
      <c r="V372" s="58"/>
      <c r="W372" s="58"/>
      <c r="X372" s="58"/>
      <c r="Y372" s="58"/>
      <c r="Z372" s="58"/>
    </row>
    <row r="373" spans="1:26">
      <c r="A373" s="58"/>
      <c r="B373" s="58"/>
      <c r="C373" s="58"/>
      <c r="D373" s="58"/>
      <c r="E373" s="58"/>
      <c r="F373" s="58"/>
      <c r="G373" s="58"/>
      <c r="H373" s="58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8"/>
      <c r="U373" s="58"/>
      <c r="V373" s="58"/>
      <c r="W373" s="58"/>
      <c r="X373" s="58"/>
      <c r="Y373" s="58"/>
      <c r="Z373" s="58"/>
    </row>
    <row r="374" spans="1:26">
      <c r="A374" s="58"/>
      <c r="B374" s="58"/>
      <c r="C374" s="58"/>
      <c r="D374" s="58"/>
      <c r="E374" s="58"/>
      <c r="F374" s="58"/>
      <c r="G374" s="58"/>
      <c r="H374" s="58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8"/>
      <c r="U374" s="58"/>
      <c r="V374" s="58"/>
      <c r="W374" s="58"/>
      <c r="X374" s="58"/>
      <c r="Y374" s="58"/>
      <c r="Z374" s="58"/>
    </row>
    <row r="375" spans="1:26">
      <c r="A375" s="58"/>
      <c r="B375" s="58"/>
      <c r="C375" s="58"/>
      <c r="D375" s="58"/>
      <c r="E375" s="58"/>
      <c r="F375" s="58"/>
      <c r="G375" s="58"/>
      <c r="H375" s="58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8"/>
      <c r="U375" s="58"/>
      <c r="V375" s="58"/>
      <c r="W375" s="58"/>
      <c r="X375" s="58"/>
      <c r="Y375" s="58"/>
      <c r="Z375" s="58"/>
    </row>
    <row r="376" spans="1:26">
      <c r="A376" s="58"/>
      <c r="B376" s="58"/>
      <c r="C376" s="58"/>
      <c r="D376" s="58"/>
      <c r="E376" s="58"/>
      <c r="F376" s="58"/>
      <c r="G376" s="58"/>
      <c r="H376" s="58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8"/>
      <c r="U376" s="58"/>
      <c r="V376" s="58"/>
      <c r="W376" s="58"/>
      <c r="X376" s="58"/>
      <c r="Y376" s="58"/>
      <c r="Z376" s="58"/>
    </row>
    <row r="377" spans="1:26">
      <c r="A377" s="58"/>
      <c r="B377" s="58"/>
      <c r="C377" s="58"/>
      <c r="D377" s="58"/>
      <c r="E377" s="58"/>
      <c r="F377" s="58"/>
      <c r="G377" s="58"/>
      <c r="H377" s="58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8"/>
      <c r="U377" s="58"/>
      <c r="V377" s="58"/>
      <c r="W377" s="58"/>
      <c r="X377" s="58"/>
      <c r="Y377" s="58"/>
      <c r="Z377" s="58"/>
    </row>
    <row r="378" spans="1:26">
      <c r="A378" s="58"/>
      <c r="B378" s="58"/>
      <c r="C378" s="58"/>
      <c r="D378" s="58"/>
      <c r="E378" s="58"/>
      <c r="F378" s="58"/>
      <c r="G378" s="58"/>
      <c r="H378" s="58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8"/>
      <c r="U378" s="58"/>
      <c r="V378" s="58"/>
      <c r="W378" s="58"/>
      <c r="X378" s="58"/>
      <c r="Y378" s="58"/>
      <c r="Z378" s="58"/>
    </row>
    <row r="379" spans="1:26">
      <c r="A379" s="58"/>
      <c r="B379" s="58"/>
      <c r="C379" s="58"/>
      <c r="D379" s="58"/>
      <c r="E379" s="58"/>
      <c r="F379" s="58"/>
      <c r="G379" s="58"/>
      <c r="H379" s="58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8"/>
      <c r="U379" s="58"/>
      <c r="V379" s="58"/>
      <c r="W379" s="58"/>
      <c r="X379" s="58"/>
      <c r="Y379" s="58"/>
      <c r="Z379" s="58"/>
    </row>
    <row r="380" spans="1:26">
      <c r="A380" s="58"/>
      <c r="B380" s="58"/>
      <c r="C380" s="58"/>
      <c r="D380" s="58"/>
      <c r="E380" s="58"/>
      <c r="F380" s="58"/>
      <c r="G380" s="58"/>
      <c r="H380" s="58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8"/>
      <c r="U380" s="58"/>
      <c r="V380" s="58"/>
      <c r="W380" s="58"/>
      <c r="X380" s="58"/>
      <c r="Y380" s="58"/>
      <c r="Z380" s="58"/>
    </row>
    <row r="381" spans="1:26">
      <c r="A381" s="58"/>
      <c r="B381" s="58"/>
      <c r="C381" s="58"/>
      <c r="D381" s="58"/>
      <c r="E381" s="58"/>
      <c r="F381" s="58"/>
      <c r="G381" s="58"/>
      <c r="H381" s="58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8"/>
      <c r="U381" s="58"/>
      <c r="V381" s="58"/>
      <c r="W381" s="58"/>
      <c r="X381" s="58"/>
      <c r="Y381" s="58"/>
      <c r="Z381" s="58"/>
    </row>
    <row r="382" spans="1:26">
      <c r="A382" s="58"/>
      <c r="B382" s="58"/>
      <c r="C382" s="58"/>
      <c r="D382" s="58"/>
      <c r="E382" s="58"/>
      <c r="F382" s="58"/>
      <c r="G382" s="58"/>
      <c r="H382" s="58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8"/>
      <c r="U382" s="58"/>
      <c r="V382" s="58"/>
      <c r="W382" s="58"/>
      <c r="X382" s="58"/>
      <c r="Y382" s="58"/>
      <c r="Z382" s="58"/>
    </row>
    <row r="383" spans="1:26">
      <c r="A383" s="58"/>
      <c r="B383" s="58"/>
      <c r="C383" s="58"/>
      <c r="D383" s="58"/>
      <c r="E383" s="58"/>
      <c r="F383" s="58"/>
      <c r="G383" s="58"/>
      <c r="H383" s="58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8"/>
      <c r="U383" s="58"/>
      <c r="V383" s="58"/>
      <c r="W383" s="58"/>
      <c r="X383" s="58"/>
      <c r="Y383" s="58"/>
      <c r="Z383" s="58"/>
    </row>
    <row r="384" spans="1:26">
      <c r="A384" s="58"/>
      <c r="B384" s="58"/>
      <c r="C384" s="58"/>
      <c r="D384" s="58"/>
      <c r="E384" s="58"/>
      <c r="F384" s="58"/>
      <c r="G384" s="58"/>
      <c r="H384" s="58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8"/>
      <c r="U384" s="58"/>
      <c r="V384" s="58"/>
      <c r="W384" s="58"/>
      <c r="X384" s="58"/>
      <c r="Y384" s="58"/>
      <c r="Z384" s="58"/>
    </row>
    <row r="385" spans="1:26">
      <c r="A385" s="58"/>
      <c r="B385" s="58"/>
      <c r="C385" s="58"/>
      <c r="D385" s="58"/>
      <c r="E385" s="58"/>
      <c r="F385" s="58"/>
      <c r="G385" s="58"/>
      <c r="H385" s="58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8"/>
      <c r="U385" s="58"/>
      <c r="V385" s="58"/>
      <c r="W385" s="58"/>
      <c r="X385" s="58"/>
      <c r="Y385" s="58"/>
      <c r="Z385" s="58"/>
    </row>
    <row r="386" spans="1:26">
      <c r="A386" s="58"/>
      <c r="B386" s="58"/>
      <c r="C386" s="58"/>
      <c r="D386" s="58"/>
      <c r="E386" s="58"/>
      <c r="F386" s="58"/>
      <c r="G386" s="58"/>
      <c r="H386" s="58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8"/>
      <c r="U386" s="58"/>
      <c r="V386" s="58"/>
      <c r="W386" s="58"/>
      <c r="X386" s="58"/>
      <c r="Y386" s="58"/>
      <c r="Z386" s="58"/>
    </row>
    <row r="387" spans="1:26">
      <c r="A387" s="58"/>
      <c r="B387" s="58"/>
      <c r="C387" s="58"/>
      <c r="D387" s="58"/>
      <c r="E387" s="58"/>
      <c r="F387" s="58"/>
      <c r="G387" s="58"/>
      <c r="H387" s="58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8"/>
      <c r="U387" s="58"/>
      <c r="V387" s="58"/>
      <c r="W387" s="58"/>
      <c r="X387" s="58"/>
      <c r="Y387" s="58"/>
      <c r="Z387" s="58"/>
    </row>
    <row r="388" spans="1:26">
      <c r="A388" s="58"/>
      <c r="B388" s="58"/>
      <c r="C388" s="58"/>
      <c r="D388" s="58"/>
      <c r="E388" s="58"/>
      <c r="F388" s="58"/>
      <c r="G388" s="58"/>
      <c r="H388" s="58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8"/>
      <c r="U388" s="58"/>
      <c r="V388" s="58"/>
      <c r="W388" s="58"/>
      <c r="X388" s="58"/>
      <c r="Y388" s="58"/>
      <c r="Z388" s="58"/>
    </row>
    <row r="389" spans="1:26">
      <c r="A389" s="58"/>
      <c r="B389" s="58"/>
      <c r="C389" s="58"/>
      <c r="D389" s="58"/>
      <c r="E389" s="58"/>
      <c r="F389" s="58"/>
      <c r="G389" s="58"/>
      <c r="H389" s="58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8"/>
      <c r="U389" s="58"/>
      <c r="V389" s="58"/>
      <c r="W389" s="58"/>
      <c r="X389" s="58"/>
      <c r="Y389" s="58"/>
      <c r="Z389" s="58"/>
    </row>
    <row r="390" spans="1:26">
      <c r="A390" s="58"/>
      <c r="B390" s="58"/>
      <c r="C390" s="58"/>
      <c r="D390" s="58"/>
      <c r="E390" s="58"/>
      <c r="F390" s="58"/>
      <c r="G390" s="58"/>
      <c r="H390" s="58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8"/>
      <c r="U390" s="58"/>
      <c r="V390" s="58"/>
      <c r="W390" s="58"/>
      <c r="X390" s="58"/>
      <c r="Y390" s="58"/>
      <c r="Z390" s="58"/>
    </row>
    <row r="391" spans="1:26">
      <c r="A391" s="58"/>
      <c r="B391" s="58"/>
      <c r="C391" s="58"/>
      <c r="D391" s="58"/>
      <c r="E391" s="58"/>
      <c r="F391" s="58"/>
      <c r="G391" s="58"/>
      <c r="H391" s="58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8"/>
      <c r="U391" s="58"/>
      <c r="V391" s="58"/>
      <c r="W391" s="58"/>
      <c r="X391" s="58"/>
      <c r="Y391" s="58"/>
      <c r="Z391" s="58"/>
    </row>
    <row r="392" spans="1:26">
      <c r="A392" s="58"/>
      <c r="B392" s="58"/>
      <c r="C392" s="58"/>
      <c r="D392" s="58"/>
      <c r="E392" s="58"/>
      <c r="F392" s="58"/>
      <c r="G392" s="58"/>
      <c r="H392" s="58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8"/>
      <c r="U392" s="58"/>
      <c r="V392" s="58"/>
      <c r="W392" s="58"/>
      <c r="X392" s="58"/>
      <c r="Y392" s="58"/>
      <c r="Z392" s="58"/>
    </row>
    <row r="393" spans="1:26">
      <c r="A393" s="58"/>
      <c r="B393" s="58"/>
      <c r="C393" s="58"/>
      <c r="D393" s="58"/>
      <c r="E393" s="58"/>
      <c r="F393" s="58"/>
      <c r="G393" s="58"/>
      <c r="H393" s="58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8"/>
      <c r="U393" s="58"/>
      <c r="V393" s="58"/>
      <c r="W393" s="58"/>
      <c r="X393" s="58"/>
      <c r="Y393" s="58"/>
      <c r="Z393" s="58"/>
    </row>
    <row r="394" spans="1:26">
      <c r="A394" s="58"/>
      <c r="B394" s="58"/>
      <c r="C394" s="58"/>
      <c r="D394" s="58"/>
      <c r="E394" s="58"/>
      <c r="F394" s="58"/>
      <c r="G394" s="58"/>
      <c r="H394" s="58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8"/>
      <c r="U394" s="58"/>
      <c r="V394" s="58"/>
      <c r="W394" s="58"/>
      <c r="X394" s="58"/>
      <c r="Y394" s="58"/>
      <c r="Z394" s="58"/>
    </row>
    <row r="395" spans="1:26">
      <c r="A395" s="58"/>
      <c r="B395" s="58"/>
      <c r="C395" s="58"/>
      <c r="D395" s="58"/>
      <c r="E395" s="58"/>
      <c r="F395" s="58"/>
      <c r="G395" s="58"/>
      <c r="H395" s="58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8"/>
      <c r="U395" s="58"/>
      <c r="V395" s="58"/>
      <c r="W395" s="58"/>
      <c r="X395" s="58"/>
      <c r="Y395" s="58"/>
      <c r="Z395" s="58"/>
    </row>
    <row r="396" spans="1:26">
      <c r="A396" s="58"/>
      <c r="B396" s="58"/>
      <c r="C396" s="58"/>
      <c r="D396" s="58"/>
      <c r="E396" s="58"/>
      <c r="F396" s="58"/>
      <c r="G396" s="58"/>
      <c r="H396" s="58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8"/>
      <c r="U396" s="58"/>
      <c r="V396" s="58"/>
      <c r="W396" s="58"/>
      <c r="X396" s="58"/>
      <c r="Y396" s="58"/>
      <c r="Z396" s="58"/>
    </row>
    <row r="397" spans="1:26">
      <c r="A397" s="58"/>
      <c r="B397" s="58"/>
      <c r="C397" s="58"/>
      <c r="D397" s="58"/>
      <c r="E397" s="58"/>
      <c r="F397" s="58"/>
      <c r="G397" s="58"/>
      <c r="H397" s="58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8"/>
      <c r="U397" s="58"/>
      <c r="V397" s="58"/>
      <c r="W397" s="58"/>
      <c r="X397" s="58"/>
      <c r="Y397" s="58"/>
      <c r="Z397" s="58"/>
    </row>
    <row r="398" spans="1:26">
      <c r="A398" s="58"/>
      <c r="B398" s="58"/>
      <c r="C398" s="58"/>
      <c r="D398" s="58"/>
      <c r="E398" s="58"/>
      <c r="F398" s="58"/>
      <c r="G398" s="58"/>
      <c r="H398" s="58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8"/>
      <c r="U398" s="58"/>
      <c r="V398" s="58"/>
      <c r="W398" s="58"/>
      <c r="X398" s="58"/>
      <c r="Y398" s="58"/>
      <c r="Z398" s="58"/>
    </row>
    <row r="399" spans="1:26">
      <c r="A399" s="58"/>
      <c r="B399" s="58"/>
      <c r="C399" s="58"/>
      <c r="D399" s="58"/>
      <c r="E399" s="58"/>
      <c r="F399" s="58"/>
      <c r="G399" s="58"/>
      <c r="H399" s="58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8"/>
      <c r="U399" s="58"/>
      <c r="V399" s="58"/>
      <c r="W399" s="58"/>
      <c r="X399" s="58"/>
      <c r="Y399" s="58"/>
      <c r="Z399" s="58"/>
    </row>
    <row r="400" spans="1:26">
      <c r="A400" s="58"/>
      <c r="B400" s="58"/>
      <c r="C400" s="58"/>
      <c r="D400" s="58"/>
      <c r="E400" s="58"/>
      <c r="F400" s="58"/>
      <c r="G400" s="58"/>
      <c r="H400" s="58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8"/>
      <c r="U400" s="58"/>
      <c r="V400" s="58"/>
      <c r="W400" s="58"/>
      <c r="X400" s="58"/>
      <c r="Y400" s="58"/>
      <c r="Z400" s="58"/>
    </row>
    <row r="401" spans="1:26">
      <c r="A401" s="58"/>
      <c r="B401" s="58"/>
      <c r="C401" s="58"/>
      <c r="D401" s="58"/>
      <c r="E401" s="58"/>
      <c r="F401" s="58"/>
      <c r="G401" s="58"/>
      <c r="H401" s="58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8"/>
      <c r="U401" s="58"/>
      <c r="V401" s="58"/>
      <c r="W401" s="58"/>
      <c r="X401" s="58"/>
      <c r="Y401" s="58"/>
      <c r="Z401" s="58"/>
    </row>
    <row r="402" spans="1:26">
      <c r="A402" s="58"/>
      <c r="B402" s="58"/>
      <c r="C402" s="58"/>
      <c r="D402" s="58"/>
      <c r="E402" s="58"/>
      <c r="F402" s="58"/>
      <c r="G402" s="58"/>
      <c r="H402" s="58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8"/>
      <c r="U402" s="58"/>
      <c r="V402" s="58"/>
      <c r="W402" s="58"/>
      <c r="X402" s="58"/>
      <c r="Y402" s="58"/>
      <c r="Z402" s="58"/>
    </row>
    <row r="403" spans="1:26">
      <c r="A403" s="58"/>
      <c r="B403" s="58"/>
      <c r="C403" s="58"/>
      <c r="D403" s="58"/>
      <c r="E403" s="58"/>
      <c r="F403" s="58"/>
      <c r="G403" s="58"/>
      <c r="H403" s="58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8"/>
      <c r="U403" s="58"/>
      <c r="V403" s="58"/>
      <c r="W403" s="58"/>
      <c r="X403" s="58"/>
      <c r="Y403" s="58"/>
      <c r="Z403" s="58"/>
    </row>
    <row r="404" spans="1:26">
      <c r="A404" s="58"/>
      <c r="B404" s="58"/>
      <c r="C404" s="58"/>
      <c r="D404" s="58"/>
      <c r="E404" s="58"/>
      <c r="F404" s="58"/>
      <c r="G404" s="58"/>
      <c r="H404" s="58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8"/>
      <c r="U404" s="58"/>
      <c r="V404" s="58"/>
      <c r="W404" s="58"/>
      <c r="X404" s="58"/>
      <c r="Y404" s="58"/>
      <c r="Z404" s="58"/>
    </row>
    <row r="405" spans="1:26">
      <c r="A405" s="58"/>
      <c r="B405" s="58"/>
      <c r="C405" s="58"/>
      <c r="D405" s="58"/>
      <c r="E405" s="58"/>
      <c r="F405" s="58"/>
      <c r="G405" s="58"/>
      <c r="H405" s="58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8"/>
      <c r="U405" s="58"/>
      <c r="V405" s="58"/>
      <c r="W405" s="58"/>
      <c r="X405" s="58"/>
      <c r="Y405" s="58"/>
      <c r="Z405" s="58"/>
    </row>
    <row r="406" spans="1:26">
      <c r="A406" s="58"/>
      <c r="B406" s="58"/>
      <c r="C406" s="58"/>
      <c r="D406" s="58"/>
      <c r="E406" s="58"/>
      <c r="F406" s="58"/>
      <c r="G406" s="58"/>
      <c r="H406" s="58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8"/>
      <c r="U406" s="58"/>
      <c r="V406" s="58"/>
      <c r="W406" s="58"/>
      <c r="X406" s="58"/>
      <c r="Y406" s="58"/>
      <c r="Z406" s="58"/>
    </row>
    <row r="407" spans="1:26">
      <c r="A407" s="58"/>
      <c r="B407" s="58"/>
      <c r="C407" s="58"/>
      <c r="D407" s="58"/>
      <c r="E407" s="58"/>
      <c r="F407" s="58"/>
      <c r="G407" s="58"/>
      <c r="H407" s="58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8"/>
      <c r="U407" s="58"/>
      <c r="V407" s="58"/>
      <c r="W407" s="58"/>
      <c r="X407" s="58"/>
      <c r="Y407" s="58"/>
      <c r="Z407" s="58"/>
    </row>
    <row r="408" spans="1:26">
      <c r="A408" s="58"/>
      <c r="B408" s="58"/>
      <c r="C408" s="58"/>
      <c r="D408" s="58"/>
      <c r="E408" s="58"/>
      <c r="F408" s="58"/>
      <c r="G408" s="58"/>
      <c r="H408" s="58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8"/>
      <c r="U408" s="58"/>
      <c r="V408" s="58"/>
      <c r="W408" s="58"/>
      <c r="X408" s="58"/>
      <c r="Y408" s="58"/>
      <c r="Z408" s="58"/>
    </row>
    <row r="409" spans="1:26">
      <c r="A409" s="58"/>
      <c r="B409" s="58"/>
      <c r="C409" s="58"/>
      <c r="D409" s="58"/>
      <c r="E409" s="58"/>
      <c r="F409" s="58"/>
      <c r="G409" s="58"/>
      <c r="H409" s="58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8"/>
      <c r="U409" s="58"/>
      <c r="V409" s="58"/>
      <c r="W409" s="58"/>
      <c r="X409" s="58"/>
      <c r="Y409" s="58"/>
      <c r="Z409" s="58"/>
    </row>
    <row r="410" spans="1:26">
      <c r="A410" s="58"/>
      <c r="B410" s="58"/>
      <c r="C410" s="58"/>
      <c r="D410" s="58"/>
      <c r="E410" s="58"/>
      <c r="F410" s="58"/>
      <c r="G410" s="58"/>
      <c r="H410" s="58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8"/>
      <c r="U410" s="58"/>
      <c r="V410" s="58"/>
      <c r="W410" s="58"/>
      <c r="X410" s="58"/>
      <c r="Y410" s="58"/>
      <c r="Z410" s="58"/>
    </row>
    <row r="411" spans="1:26">
      <c r="A411" s="58"/>
      <c r="B411" s="58"/>
      <c r="C411" s="58"/>
      <c r="D411" s="58"/>
      <c r="E411" s="58"/>
      <c r="F411" s="58"/>
      <c r="G411" s="58"/>
      <c r="H411" s="58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8"/>
      <c r="U411" s="58"/>
      <c r="V411" s="58"/>
      <c r="W411" s="58"/>
      <c r="X411" s="58"/>
      <c r="Y411" s="58"/>
      <c r="Z411" s="58"/>
    </row>
    <row r="412" spans="1:26">
      <c r="A412" s="58"/>
      <c r="B412" s="58"/>
      <c r="C412" s="58"/>
      <c r="D412" s="58"/>
      <c r="E412" s="58"/>
      <c r="F412" s="58"/>
      <c r="G412" s="58"/>
      <c r="H412" s="58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8"/>
      <c r="U412" s="58"/>
      <c r="V412" s="58"/>
      <c r="W412" s="58"/>
      <c r="X412" s="58"/>
      <c r="Y412" s="58"/>
      <c r="Z412" s="58"/>
    </row>
    <row r="413" spans="1:26">
      <c r="A413" s="58"/>
      <c r="B413" s="58"/>
      <c r="C413" s="58"/>
      <c r="D413" s="58"/>
      <c r="E413" s="58"/>
      <c r="F413" s="58"/>
      <c r="G413" s="58"/>
      <c r="H413" s="58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8"/>
      <c r="U413" s="58"/>
      <c r="V413" s="58"/>
      <c r="W413" s="58"/>
      <c r="X413" s="58"/>
      <c r="Y413" s="58"/>
      <c r="Z413" s="58"/>
    </row>
    <row r="414" spans="1:26">
      <c r="A414" s="58"/>
      <c r="B414" s="58"/>
      <c r="C414" s="58"/>
      <c r="D414" s="58"/>
      <c r="E414" s="58"/>
      <c r="F414" s="58"/>
      <c r="G414" s="58"/>
      <c r="H414" s="58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8"/>
      <c r="U414" s="58"/>
      <c r="V414" s="58"/>
      <c r="W414" s="58"/>
      <c r="X414" s="58"/>
      <c r="Y414" s="58"/>
      <c r="Z414" s="58"/>
    </row>
    <row r="415" spans="1:26">
      <c r="A415" s="58"/>
      <c r="B415" s="58"/>
      <c r="C415" s="58"/>
      <c r="D415" s="58"/>
      <c r="E415" s="58"/>
      <c r="F415" s="58"/>
      <c r="G415" s="58"/>
      <c r="H415" s="58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8"/>
      <c r="U415" s="58"/>
      <c r="V415" s="58"/>
      <c r="W415" s="58"/>
      <c r="X415" s="58"/>
      <c r="Y415" s="58"/>
      <c r="Z415" s="58"/>
    </row>
    <row r="416" spans="1:26">
      <c r="A416" s="58"/>
      <c r="B416" s="58"/>
      <c r="C416" s="58"/>
      <c r="D416" s="58"/>
      <c r="E416" s="58"/>
      <c r="F416" s="58"/>
      <c r="G416" s="58"/>
      <c r="H416" s="58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8"/>
      <c r="U416" s="58"/>
      <c r="V416" s="58"/>
      <c r="W416" s="58"/>
      <c r="X416" s="58"/>
      <c r="Y416" s="58"/>
      <c r="Z416" s="58"/>
    </row>
    <row r="417" spans="1:26">
      <c r="A417" s="58"/>
      <c r="B417" s="58"/>
      <c r="C417" s="58"/>
      <c r="D417" s="58"/>
      <c r="E417" s="58"/>
      <c r="F417" s="58"/>
      <c r="G417" s="58"/>
      <c r="H417" s="58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8"/>
      <c r="U417" s="58"/>
      <c r="V417" s="58"/>
      <c r="W417" s="58"/>
      <c r="X417" s="58"/>
      <c r="Y417" s="58"/>
      <c r="Z417" s="58"/>
    </row>
    <row r="418" spans="1:26">
      <c r="A418" s="58"/>
      <c r="B418" s="58"/>
      <c r="C418" s="58"/>
      <c r="D418" s="58"/>
      <c r="E418" s="58"/>
      <c r="F418" s="58"/>
      <c r="G418" s="58"/>
      <c r="H418" s="58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8"/>
      <c r="U418" s="58"/>
      <c r="V418" s="58"/>
      <c r="W418" s="58"/>
      <c r="X418" s="58"/>
      <c r="Y418" s="58"/>
      <c r="Z418" s="58"/>
    </row>
    <row r="419" spans="1:26">
      <c r="A419" s="58"/>
      <c r="B419" s="58"/>
      <c r="C419" s="58"/>
      <c r="D419" s="58"/>
      <c r="E419" s="58"/>
      <c r="F419" s="58"/>
      <c r="G419" s="58"/>
      <c r="H419" s="58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8"/>
      <c r="U419" s="58"/>
      <c r="V419" s="58"/>
      <c r="W419" s="58"/>
      <c r="X419" s="58"/>
      <c r="Y419" s="58"/>
      <c r="Z419" s="58"/>
    </row>
    <row r="420" spans="1:26">
      <c r="A420" s="58"/>
      <c r="B420" s="58"/>
      <c r="C420" s="58"/>
      <c r="D420" s="58"/>
      <c r="E420" s="58"/>
      <c r="F420" s="58"/>
      <c r="G420" s="58"/>
      <c r="H420" s="58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8"/>
      <c r="U420" s="58"/>
      <c r="V420" s="58"/>
      <c r="W420" s="58"/>
      <c r="X420" s="58"/>
      <c r="Y420" s="58"/>
      <c r="Z420" s="58"/>
    </row>
    <row r="421" spans="1:26">
      <c r="A421" s="58"/>
      <c r="B421" s="58"/>
      <c r="C421" s="58"/>
      <c r="D421" s="58"/>
      <c r="E421" s="58"/>
      <c r="F421" s="58"/>
      <c r="G421" s="58"/>
      <c r="H421" s="58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8"/>
      <c r="U421" s="58"/>
      <c r="V421" s="58"/>
      <c r="W421" s="58"/>
      <c r="X421" s="58"/>
      <c r="Y421" s="58"/>
      <c r="Z421" s="58"/>
    </row>
    <row r="422" spans="1:26">
      <c r="A422" s="58"/>
      <c r="B422" s="58"/>
      <c r="C422" s="58"/>
      <c r="D422" s="58"/>
      <c r="E422" s="58"/>
      <c r="F422" s="58"/>
      <c r="G422" s="58"/>
      <c r="H422" s="58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8"/>
      <c r="U422" s="58"/>
      <c r="V422" s="58"/>
      <c r="W422" s="58"/>
      <c r="X422" s="58"/>
      <c r="Y422" s="58"/>
      <c r="Z422" s="58"/>
    </row>
    <row r="423" spans="1:26">
      <c r="A423" s="58"/>
      <c r="B423" s="58"/>
      <c r="C423" s="58"/>
      <c r="D423" s="58"/>
      <c r="E423" s="58"/>
      <c r="F423" s="58"/>
      <c r="G423" s="58"/>
      <c r="H423" s="58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8"/>
      <c r="U423" s="58"/>
      <c r="V423" s="58"/>
      <c r="W423" s="58"/>
      <c r="X423" s="58"/>
      <c r="Y423" s="58"/>
      <c r="Z423" s="58"/>
    </row>
    <row r="424" spans="1:26">
      <c r="A424" s="58"/>
      <c r="B424" s="58"/>
      <c r="C424" s="58"/>
      <c r="D424" s="58"/>
      <c r="E424" s="58"/>
      <c r="F424" s="58"/>
      <c r="G424" s="58"/>
      <c r="H424" s="58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8"/>
      <c r="U424" s="58"/>
      <c r="V424" s="58"/>
      <c r="W424" s="58"/>
      <c r="X424" s="58"/>
      <c r="Y424" s="58"/>
      <c r="Z424" s="58"/>
    </row>
    <row r="425" spans="1:26">
      <c r="A425" s="58"/>
      <c r="B425" s="58"/>
      <c r="C425" s="58"/>
      <c r="D425" s="58"/>
      <c r="E425" s="58"/>
      <c r="F425" s="58"/>
      <c r="G425" s="58"/>
      <c r="H425" s="58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8"/>
      <c r="U425" s="58"/>
      <c r="V425" s="58"/>
      <c r="W425" s="58"/>
      <c r="X425" s="58"/>
      <c r="Y425" s="58"/>
      <c r="Z425" s="58"/>
    </row>
    <row r="426" spans="1:26">
      <c r="A426" s="58"/>
      <c r="B426" s="58"/>
      <c r="C426" s="58"/>
      <c r="D426" s="58"/>
      <c r="E426" s="58"/>
      <c r="F426" s="58"/>
      <c r="G426" s="58"/>
      <c r="H426" s="58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8"/>
      <c r="U426" s="58"/>
      <c r="V426" s="58"/>
      <c r="W426" s="58"/>
      <c r="X426" s="58"/>
      <c r="Y426" s="58"/>
      <c r="Z426" s="58"/>
    </row>
    <row r="427" spans="1:26">
      <c r="A427" s="58"/>
      <c r="B427" s="58"/>
      <c r="C427" s="58"/>
      <c r="D427" s="58"/>
      <c r="E427" s="58"/>
      <c r="F427" s="58"/>
      <c r="G427" s="58"/>
      <c r="H427" s="58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8"/>
      <c r="U427" s="58"/>
      <c r="V427" s="58"/>
      <c r="W427" s="58"/>
      <c r="X427" s="58"/>
      <c r="Y427" s="58"/>
      <c r="Z427" s="58"/>
    </row>
    <row r="428" spans="1:26">
      <c r="A428" s="58"/>
      <c r="B428" s="58"/>
      <c r="C428" s="58"/>
      <c r="D428" s="58"/>
      <c r="E428" s="58"/>
      <c r="F428" s="58"/>
      <c r="G428" s="58"/>
      <c r="H428" s="58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8"/>
      <c r="U428" s="58"/>
      <c r="V428" s="58"/>
      <c r="W428" s="58"/>
      <c r="X428" s="58"/>
      <c r="Y428" s="58"/>
      <c r="Z428" s="58"/>
    </row>
    <row r="429" spans="1:26">
      <c r="A429" s="58"/>
      <c r="B429" s="58"/>
      <c r="C429" s="58"/>
      <c r="D429" s="58"/>
      <c r="E429" s="58"/>
      <c r="F429" s="58"/>
      <c r="G429" s="58"/>
      <c r="H429" s="58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8"/>
      <c r="U429" s="58"/>
      <c r="V429" s="58"/>
      <c r="W429" s="58"/>
      <c r="X429" s="58"/>
      <c r="Y429" s="58"/>
      <c r="Z429" s="58"/>
    </row>
    <row r="430" spans="1:26">
      <c r="A430" s="58"/>
      <c r="B430" s="58"/>
      <c r="C430" s="58"/>
      <c r="D430" s="58"/>
      <c r="E430" s="58"/>
      <c r="F430" s="58"/>
      <c r="G430" s="58"/>
      <c r="H430" s="58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8"/>
      <c r="U430" s="58"/>
      <c r="V430" s="58"/>
      <c r="W430" s="58"/>
      <c r="X430" s="58"/>
      <c r="Y430" s="58"/>
      <c r="Z430" s="58"/>
    </row>
    <row r="431" spans="1:26">
      <c r="A431" s="58"/>
      <c r="B431" s="58"/>
      <c r="C431" s="58"/>
      <c r="D431" s="58"/>
      <c r="E431" s="58"/>
      <c r="F431" s="58"/>
      <c r="G431" s="58"/>
      <c r="H431" s="58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8"/>
      <c r="U431" s="58"/>
      <c r="V431" s="58"/>
      <c r="W431" s="58"/>
      <c r="X431" s="58"/>
      <c r="Y431" s="58"/>
      <c r="Z431" s="58"/>
    </row>
    <row r="432" spans="1:26">
      <c r="A432" s="58"/>
      <c r="B432" s="58"/>
      <c r="C432" s="58"/>
      <c r="D432" s="58"/>
      <c r="E432" s="58"/>
      <c r="F432" s="58"/>
      <c r="G432" s="58"/>
      <c r="H432" s="58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8"/>
      <c r="U432" s="58"/>
      <c r="V432" s="58"/>
      <c r="W432" s="58"/>
      <c r="X432" s="58"/>
      <c r="Y432" s="58"/>
      <c r="Z432" s="58"/>
    </row>
    <row r="433" spans="1:26">
      <c r="A433" s="58"/>
      <c r="B433" s="58"/>
      <c r="C433" s="58"/>
      <c r="D433" s="58"/>
      <c r="E433" s="58"/>
      <c r="F433" s="58"/>
      <c r="G433" s="58"/>
      <c r="H433" s="58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8"/>
      <c r="U433" s="58"/>
      <c r="V433" s="58"/>
      <c r="W433" s="58"/>
      <c r="X433" s="58"/>
      <c r="Y433" s="58"/>
      <c r="Z433" s="58"/>
    </row>
    <row r="434" spans="1:26">
      <c r="A434" s="58"/>
      <c r="B434" s="58"/>
      <c r="C434" s="58"/>
      <c r="D434" s="58"/>
      <c r="E434" s="58"/>
      <c r="F434" s="58"/>
      <c r="G434" s="58"/>
      <c r="H434" s="58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8"/>
      <c r="U434" s="58"/>
      <c r="V434" s="58"/>
      <c r="W434" s="58"/>
      <c r="X434" s="58"/>
      <c r="Y434" s="58"/>
      <c r="Z434" s="58"/>
    </row>
    <row r="435" spans="1:26">
      <c r="A435" s="58"/>
      <c r="B435" s="58"/>
      <c r="C435" s="58"/>
      <c r="D435" s="58"/>
      <c r="E435" s="58"/>
      <c r="F435" s="58"/>
      <c r="G435" s="58"/>
      <c r="H435" s="58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8"/>
      <c r="U435" s="58"/>
      <c r="V435" s="58"/>
      <c r="W435" s="58"/>
      <c r="X435" s="58"/>
      <c r="Y435" s="58"/>
      <c r="Z435" s="58"/>
    </row>
    <row r="436" spans="1:26">
      <c r="A436" s="58"/>
      <c r="B436" s="58"/>
      <c r="C436" s="58"/>
      <c r="D436" s="58"/>
      <c r="E436" s="58"/>
      <c r="F436" s="58"/>
      <c r="G436" s="58"/>
      <c r="H436" s="58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8"/>
      <c r="U436" s="58"/>
      <c r="V436" s="58"/>
      <c r="W436" s="58"/>
      <c r="X436" s="58"/>
      <c r="Y436" s="58"/>
      <c r="Z436" s="58"/>
    </row>
    <row r="437" spans="1:26">
      <c r="A437" s="58"/>
      <c r="B437" s="58"/>
      <c r="C437" s="58"/>
      <c r="D437" s="58"/>
      <c r="E437" s="58"/>
      <c r="F437" s="58"/>
      <c r="G437" s="58"/>
      <c r="H437" s="58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8"/>
      <c r="U437" s="58"/>
      <c r="V437" s="58"/>
      <c r="W437" s="58"/>
      <c r="X437" s="58"/>
      <c r="Y437" s="58"/>
      <c r="Z437" s="58"/>
    </row>
    <row r="438" spans="1:26">
      <c r="A438" s="58"/>
      <c r="B438" s="58"/>
      <c r="C438" s="58"/>
      <c r="D438" s="58"/>
      <c r="E438" s="58"/>
      <c r="F438" s="58"/>
      <c r="G438" s="58"/>
      <c r="H438" s="58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8"/>
      <c r="U438" s="58"/>
      <c r="V438" s="58"/>
      <c r="W438" s="58"/>
      <c r="X438" s="58"/>
      <c r="Y438" s="58"/>
      <c r="Z438" s="58"/>
    </row>
    <row r="439" spans="1:26">
      <c r="A439" s="58"/>
      <c r="B439" s="58"/>
      <c r="C439" s="58"/>
      <c r="D439" s="58"/>
      <c r="E439" s="58"/>
      <c r="F439" s="58"/>
      <c r="G439" s="58"/>
      <c r="H439" s="58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8"/>
      <c r="U439" s="58"/>
      <c r="V439" s="58"/>
      <c r="W439" s="58"/>
      <c r="X439" s="58"/>
      <c r="Y439" s="58"/>
      <c r="Z439" s="58"/>
    </row>
    <row r="440" spans="1:26">
      <c r="A440" s="58"/>
      <c r="B440" s="58"/>
      <c r="C440" s="58"/>
      <c r="D440" s="58"/>
      <c r="E440" s="58"/>
      <c r="F440" s="58"/>
      <c r="G440" s="58"/>
      <c r="H440" s="58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8"/>
      <c r="U440" s="58"/>
      <c r="V440" s="58"/>
      <c r="W440" s="58"/>
      <c r="X440" s="58"/>
      <c r="Y440" s="58"/>
      <c r="Z440" s="58"/>
    </row>
    <row r="441" spans="1:26">
      <c r="A441" s="58"/>
      <c r="B441" s="58"/>
      <c r="C441" s="58"/>
      <c r="D441" s="58"/>
      <c r="E441" s="58"/>
      <c r="F441" s="58"/>
      <c r="G441" s="58"/>
      <c r="H441" s="58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8"/>
      <c r="U441" s="58"/>
      <c r="V441" s="58"/>
      <c r="W441" s="58"/>
      <c r="X441" s="58"/>
      <c r="Y441" s="58"/>
      <c r="Z441" s="58"/>
    </row>
    <row r="442" spans="1:26">
      <c r="A442" s="58"/>
      <c r="B442" s="58"/>
      <c r="C442" s="58"/>
      <c r="D442" s="58"/>
      <c r="E442" s="58"/>
      <c r="F442" s="58"/>
      <c r="G442" s="58"/>
      <c r="H442" s="58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8"/>
      <c r="U442" s="58"/>
      <c r="V442" s="58"/>
      <c r="W442" s="58"/>
      <c r="X442" s="58"/>
      <c r="Y442" s="58"/>
      <c r="Z442" s="58"/>
    </row>
    <row r="443" spans="1:26">
      <c r="A443" s="58"/>
      <c r="B443" s="58"/>
      <c r="C443" s="58"/>
      <c r="D443" s="58"/>
      <c r="E443" s="58"/>
      <c r="F443" s="58"/>
      <c r="G443" s="58"/>
      <c r="H443" s="58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8"/>
      <c r="U443" s="58"/>
      <c r="V443" s="58"/>
      <c r="W443" s="58"/>
      <c r="X443" s="58"/>
      <c r="Y443" s="58"/>
      <c r="Z443" s="58"/>
    </row>
    <row r="444" spans="1:26">
      <c r="A444" s="58"/>
      <c r="B444" s="58"/>
      <c r="C444" s="58"/>
      <c r="D444" s="58"/>
      <c r="E444" s="58"/>
      <c r="F444" s="58"/>
      <c r="G444" s="58"/>
      <c r="H444" s="58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8"/>
      <c r="U444" s="58"/>
      <c r="V444" s="58"/>
      <c r="W444" s="58"/>
      <c r="X444" s="58"/>
      <c r="Y444" s="58"/>
      <c r="Z444" s="58"/>
    </row>
    <row r="445" spans="1:26">
      <c r="A445" s="58"/>
      <c r="B445" s="58"/>
      <c r="C445" s="58"/>
      <c r="D445" s="58"/>
      <c r="E445" s="58"/>
      <c r="F445" s="58"/>
      <c r="G445" s="58"/>
      <c r="H445" s="58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8"/>
      <c r="U445" s="58"/>
      <c r="V445" s="58"/>
      <c r="W445" s="58"/>
      <c r="X445" s="58"/>
      <c r="Y445" s="58"/>
      <c r="Z445" s="58"/>
    </row>
    <row r="446" spans="1:26">
      <c r="A446" s="58"/>
      <c r="B446" s="58"/>
      <c r="C446" s="58"/>
      <c r="D446" s="58"/>
      <c r="E446" s="58"/>
      <c r="F446" s="58"/>
      <c r="G446" s="58"/>
      <c r="H446" s="58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8"/>
      <c r="U446" s="58"/>
      <c r="V446" s="58"/>
      <c r="W446" s="58"/>
      <c r="X446" s="58"/>
      <c r="Y446" s="58"/>
      <c r="Z446" s="58"/>
    </row>
    <row r="447" spans="1:26">
      <c r="A447" s="58"/>
      <c r="B447" s="58"/>
      <c r="C447" s="58"/>
      <c r="D447" s="58"/>
      <c r="E447" s="58"/>
      <c r="F447" s="58"/>
      <c r="G447" s="58"/>
      <c r="H447" s="58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8"/>
      <c r="U447" s="58"/>
      <c r="V447" s="58"/>
      <c r="W447" s="58"/>
      <c r="X447" s="58"/>
      <c r="Y447" s="58"/>
      <c r="Z447" s="58"/>
    </row>
    <row r="448" spans="1:26">
      <c r="A448" s="58"/>
      <c r="B448" s="58"/>
      <c r="C448" s="58"/>
      <c r="D448" s="58"/>
      <c r="E448" s="58"/>
      <c r="F448" s="58"/>
      <c r="G448" s="58"/>
      <c r="H448" s="58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8"/>
      <c r="U448" s="58"/>
      <c r="V448" s="58"/>
      <c r="W448" s="58"/>
      <c r="X448" s="58"/>
      <c r="Y448" s="58"/>
      <c r="Z448" s="58"/>
    </row>
    <row r="449" spans="1:26">
      <c r="A449" s="58"/>
      <c r="B449" s="58"/>
      <c r="C449" s="58"/>
      <c r="D449" s="58"/>
      <c r="E449" s="58"/>
      <c r="F449" s="58"/>
      <c r="G449" s="58"/>
      <c r="H449" s="58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8"/>
      <c r="U449" s="58"/>
      <c r="V449" s="58"/>
      <c r="W449" s="58"/>
      <c r="X449" s="58"/>
      <c r="Y449" s="58"/>
      <c r="Z449" s="58"/>
    </row>
    <row r="450" spans="1:26">
      <c r="A450" s="58"/>
      <c r="B450" s="58"/>
      <c r="C450" s="58"/>
      <c r="D450" s="58"/>
      <c r="E450" s="58"/>
      <c r="F450" s="58"/>
      <c r="G450" s="58"/>
      <c r="H450" s="58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8"/>
      <c r="U450" s="58"/>
      <c r="V450" s="58"/>
      <c r="W450" s="58"/>
      <c r="X450" s="58"/>
      <c r="Y450" s="58"/>
      <c r="Z450" s="58"/>
    </row>
    <row r="451" spans="1:26">
      <c r="A451" s="58"/>
      <c r="B451" s="58"/>
      <c r="C451" s="58"/>
      <c r="D451" s="58"/>
      <c r="E451" s="58"/>
      <c r="F451" s="58"/>
      <c r="G451" s="58"/>
      <c r="H451" s="58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8"/>
      <c r="U451" s="58"/>
      <c r="V451" s="58"/>
      <c r="W451" s="58"/>
      <c r="X451" s="58"/>
      <c r="Y451" s="58"/>
      <c r="Z451" s="58"/>
    </row>
    <row r="452" spans="1:26">
      <c r="A452" s="58"/>
      <c r="B452" s="58"/>
      <c r="C452" s="58"/>
      <c r="D452" s="58"/>
      <c r="E452" s="58"/>
      <c r="F452" s="58"/>
      <c r="G452" s="58"/>
      <c r="H452" s="58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8"/>
      <c r="U452" s="58"/>
      <c r="V452" s="58"/>
      <c r="W452" s="58"/>
      <c r="X452" s="58"/>
      <c r="Y452" s="58"/>
      <c r="Z452" s="58"/>
    </row>
    <row r="453" spans="1:26">
      <c r="A453" s="58"/>
      <c r="B453" s="58"/>
      <c r="C453" s="58"/>
      <c r="D453" s="58"/>
      <c r="E453" s="58"/>
      <c r="F453" s="58"/>
      <c r="G453" s="58"/>
      <c r="H453" s="58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8"/>
      <c r="U453" s="58"/>
      <c r="V453" s="58"/>
      <c r="W453" s="58"/>
      <c r="X453" s="58"/>
      <c r="Y453" s="58"/>
      <c r="Z453" s="58"/>
    </row>
    <row r="454" spans="1:26">
      <c r="A454" s="58"/>
      <c r="B454" s="58"/>
      <c r="C454" s="58"/>
      <c r="D454" s="58"/>
      <c r="E454" s="58"/>
      <c r="F454" s="58"/>
      <c r="G454" s="58"/>
      <c r="H454" s="58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8"/>
      <c r="U454" s="58"/>
      <c r="V454" s="58"/>
      <c r="W454" s="58"/>
      <c r="X454" s="58"/>
      <c r="Y454" s="58"/>
      <c r="Z454" s="58"/>
    </row>
    <row r="455" spans="1:26">
      <c r="A455" s="58"/>
      <c r="B455" s="58"/>
      <c r="C455" s="58"/>
      <c r="D455" s="58"/>
      <c r="E455" s="58"/>
      <c r="F455" s="58"/>
      <c r="G455" s="58"/>
      <c r="H455" s="58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8"/>
      <c r="U455" s="58"/>
      <c r="V455" s="58"/>
      <c r="W455" s="58"/>
      <c r="X455" s="58"/>
      <c r="Y455" s="58"/>
      <c r="Z455" s="58"/>
    </row>
    <row r="456" spans="1:26">
      <c r="A456" s="58"/>
      <c r="B456" s="58"/>
      <c r="C456" s="58"/>
      <c r="D456" s="58"/>
      <c r="E456" s="58"/>
      <c r="F456" s="58"/>
      <c r="G456" s="58"/>
      <c r="H456" s="58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8"/>
      <c r="U456" s="58"/>
      <c r="V456" s="58"/>
      <c r="W456" s="58"/>
      <c r="X456" s="58"/>
      <c r="Y456" s="58"/>
      <c r="Z456" s="58"/>
    </row>
    <row r="457" spans="1:26">
      <c r="A457" s="58"/>
      <c r="B457" s="58"/>
      <c r="C457" s="58"/>
      <c r="D457" s="58"/>
      <c r="E457" s="58"/>
      <c r="F457" s="58"/>
      <c r="G457" s="58"/>
      <c r="H457" s="58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8"/>
      <c r="U457" s="58"/>
      <c r="V457" s="58"/>
      <c r="W457" s="58"/>
      <c r="X457" s="58"/>
      <c r="Y457" s="58"/>
      <c r="Z457" s="58"/>
    </row>
    <row r="458" spans="1:26">
      <c r="A458" s="58"/>
      <c r="B458" s="58"/>
      <c r="C458" s="58"/>
      <c r="D458" s="58"/>
      <c r="E458" s="58"/>
      <c r="F458" s="58"/>
      <c r="G458" s="58"/>
      <c r="H458" s="58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8"/>
      <c r="U458" s="58"/>
      <c r="V458" s="58"/>
      <c r="W458" s="58"/>
      <c r="X458" s="58"/>
      <c r="Y458" s="58"/>
      <c r="Z458" s="58"/>
    </row>
    <row r="459" spans="1:26">
      <c r="A459" s="58"/>
      <c r="B459" s="58"/>
      <c r="C459" s="58"/>
      <c r="D459" s="58"/>
      <c r="E459" s="58"/>
      <c r="F459" s="58"/>
      <c r="G459" s="58"/>
      <c r="H459" s="58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8"/>
      <c r="U459" s="58"/>
      <c r="V459" s="58"/>
      <c r="W459" s="58"/>
      <c r="X459" s="58"/>
      <c r="Y459" s="58"/>
      <c r="Z459" s="58"/>
    </row>
    <row r="460" spans="1:26">
      <c r="A460" s="58"/>
      <c r="B460" s="58"/>
      <c r="C460" s="58"/>
      <c r="D460" s="58"/>
      <c r="E460" s="58"/>
      <c r="F460" s="58"/>
      <c r="G460" s="58"/>
      <c r="H460" s="58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8"/>
      <c r="U460" s="58"/>
      <c r="V460" s="58"/>
      <c r="W460" s="58"/>
      <c r="X460" s="58"/>
      <c r="Y460" s="58"/>
      <c r="Z460" s="58"/>
    </row>
    <row r="461" spans="1:26">
      <c r="A461" s="58"/>
      <c r="B461" s="58"/>
      <c r="C461" s="58"/>
      <c r="D461" s="58"/>
      <c r="E461" s="58"/>
      <c r="F461" s="58"/>
      <c r="G461" s="58"/>
      <c r="H461" s="58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8"/>
      <c r="U461" s="58"/>
      <c r="V461" s="58"/>
      <c r="W461" s="58"/>
      <c r="X461" s="58"/>
      <c r="Y461" s="58"/>
      <c r="Z461" s="58"/>
    </row>
    <row r="462" spans="1:26">
      <c r="A462" s="58"/>
      <c r="B462" s="58"/>
      <c r="C462" s="58"/>
      <c r="D462" s="58"/>
      <c r="E462" s="58"/>
      <c r="F462" s="58"/>
      <c r="G462" s="58"/>
      <c r="H462" s="58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8"/>
      <c r="U462" s="58"/>
      <c r="V462" s="58"/>
      <c r="W462" s="58"/>
      <c r="X462" s="58"/>
      <c r="Y462" s="58"/>
      <c r="Z462" s="58"/>
    </row>
    <row r="463" spans="1:26">
      <c r="A463" s="58"/>
      <c r="B463" s="58"/>
      <c r="C463" s="58"/>
      <c r="D463" s="58"/>
      <c r="E463" s="58"/>
      <c r="F463" s="58"/>
      <c r="G463" s="58"/>
      <c r="H463" s="58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8"/>
      <c r="U463" s="58"/>
      <c r="V463" s="58"/>
      <c r="W463" s="58"/>
      <c r="X463" s="58"/>
      <c r="Y463" s="58"/>
      <c r="Z463" s="58"/>
    </row>
    <row r="464" spans="1:26">
      <c r="A464" s="58"/>
      <c r="B464" s="58"/>
      <c r="C464" s="58"/>
      <c r="D464" s="58"/>
      <c r="E464" s="58"/>
      <c r="F464" s="58"/>
      <c r="G464" s="58"/>
      <c r="H464" s="58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8"/>
      <c r="U464" s="58"/>
      <c r="V464" s="58"/>
      <c r="W464" s="58"/>
      <c r="X464" s="58"/>
      <c r="Y464" s="58"/>
      <c r="Z464" s="58"/>
    </row>
    <row r="465" spans="1:26">
      <c r="A465" s="58"/>
      <c r="B465" s="58"/>
      <c r="C465" s="58"/>
      <c r="D465" s="58"/>
      <c r="E465" s="58"/>
      <c r="F465" s="58"/>
      <c r="G465" s="58"/>
      <c r="H465" s="58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8"/>
      <c r="U465" s="58"/>
      <c r="V465" s="58"/>
      <c r="W465" s="58"/>
      <c r="X465" s="58"/>
      <c r="Y465" s="58"/>
      <c r="Z465" s="58"/>
    </row>
    <row r="466" spans="1:26">
      <c r="A466" s="58"/>
      <c r="B466" s="58"/>
      <c r="C466" s="58"/>
      <c r="D466" s="58"/>
      <c r="E466" s="58"/>
      <c r="F466" s="58"/>
      <c r="G466" s="58"/>
      <c r="H466" s="58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8"/>
      <c r="U466" s="58"/>
      <c r="V466" s="58"/>
      <c r="W466" s="58"/>
      <c r="X466" s="58"/>
      <c r="Y466" s="58"/>
      <c r="Z466" s="58"/>
    </row>
    <row r="467" spans="1:26">
      <c r="A467" s="58"/>
      <c r="B467" s="58"/>
      <c r="C467" s="58"/>
      <c r="D467" s="58"/>
      <c r="E467" s="58"/>
      <c r="F467" s="58"/>
      <c r="G467" s="58"/>
      <c r="H467" s="58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8"/>
      <c r="U467" s="58"/>
      <c r="V467" s="58"/>
      <c r="W467" s="58"/>
      <c r="X467" s="58"/>
      <c r="Y467" s="58"/>
      <c r="Z467" s="58"/>
    </row>
    <row r="468" spans="1:26">
      <c r="A468" s="58"/>
      <c r="B468" s="58"/>
      <c r="C468" s="58"/>
      <c r="D468" s="58"/>
      <c r="E468" s="58"/>
      <c r="F468" s="58"/>
      <c r="G468" s="58"/>
      <c r="H468" s="58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8"/>
      <c r="U468" s="58"/>
      <c r="V468" s="58"/>
      <c r="W468" s="58"/>
      <c r="X468" s="58"/>
      <c r="Y468" s="58"/>
      <c r="Z468" s="58"/>
    </row>
    <row r="469" spans="1:26">
      <c r="A469" s="58"/>
      <c r="B469" s="58"/>
      <c r="C469" s="58"/>
      <c r="D469" s="58"/>
      <c r="E469" s="58"/>
      <c r="F469" s="58"/>
      <c r="G469" s="58"/>
      <c r="H469" s="58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8"/>
      <c r="U469" s="58"/>
      <c r="V469" s="58"/>
      <c r="W469" s="58"/>
      <c r="X469" s="58"/>
      <c r="Y469" s="58"/>
      <c r="Z469" s="58"/>
    </row>
    <row r="470" spans="1:26">
      <c r="A470" s="58"/>
      <c r="B470" s="58"/>
      <c r="C470" s="58"/>
      <c r="D470" s="58"/>
      <c r="E470" s="58"/>
      <c r="F470" s="58"/>
      <c r="G470" s="58"/>
      <c r="H470" s="58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8"/>
      <c r="U470" s="58"/>
      <c r="V470" s="58"/>
      <c r="W470" s="58"/>
      <c r="X470" s="58"/>
      <c r="Y470" s="58"/>
      <c r="Z470" s="58"/>
    </row>
    <row r="471" spans="1:26">
      <c r="A471" s="58"/>
      <c r="B471" s="58"/>
      <c r="C471" s="58"/>
      <c r="D471" s="58"/>
      <c r="E471" s="58"/>
      <c r="F471" s="58"/>
      <c r="G471" s="58"/>
      <c r="H471" s="58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8"/>
      <c r="U471" s="58"/>
      <c r="V471" s="58"/>
      <c r="W471" s="58"/>
      <c r="X471" s="58"/>
      <c r="Y471" s="58"/>
      <c r="Z471" s="58"/>
    </row>
    <row r="472" spans="1:26">
      <c r="A472" s="58"/>
      <c r="B472" s="58"/>
      <c r="C472" s="58"/>
      <c r="D472" s="58"/>
      <c r="E472" s="58"/>
      <c r="F472" s="58"/>
      <c r="G472" s="58"/>
      <c r="H472" s="58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8"/>
      <c r="U472" s="58"/>
      <c r="V472" s="58"/>
      <c r="W472" s="58"/>
      <c r="X472" s="58"/>
      <c r="Y472" s="58"/>
      <c r="Z472" s="58"/>
    </row>
    <row r="473" spans="1:26">
      <c r="A473" s="58"/>
      <c r="B473" s="58"/>
      <c r="C473" s="58"/>
      <c r="D473" s="58"/>
      <c r="E473" s="58"/>
      <c r="F473" s="58"/>
      <c r="G473" s="58"/>
      <c r="H473" s="58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8"/>
      <c r="U473" s="58"/>
      <c r="V473" s="58"/>
      <c r="W473" s="58"/>
      <c r="X473" s="58"/>
      <c r="Y473" s="58"/>
      <c r="Z473" s="58"/>
    </row>
    <row r="474" spans="1:26">
      <c r="A474" s="58"/>
      <c r="B474" s="58"/>
      <c r="C474" s="58"/>
      <c r="D474" s="58"/>
      <c r="E474" s="58"/>
      <c r="F474" s="58"/>
      <c r="G474" s="58"/>
      <c r="H474" s="58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8"/>
      <c r="U474" s="58"/>
      <c r="V474" s="58"/>
      <c r="W474" s="58"/>
      <c r="X474" s="58"/>
      <c r="Y474" s="58"/>
      <c r="Z474" s="58"/>
    </row>
    <row r="475" spans="1:26">
      <c r="A475" s="58"/>
      <c r="B475" s="58"/>
      <c r="C475" s="58"/>
      <c r="D475" s="58"/>
      <c r="E475" s="58"/>
      <c r="F475" s="58"/>
      <c r="G475" s="58"/>
      <c r="H475" s="58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8"/>
      <c r="U475" s="58"/>
      <c r="V475" s="58"/>
      <c r="W475" s="58"/>
      <c r="X475" s="58"/>
      <c r="Y475" s="58"/>
      <c r="Z475" s="58"/>
    </row>
    <row r="476" spans="1:26">
      <c r="A476" s="58"/>
      <c r="B476" s="58"/>
      <c r="C476" s="58"/>
      <c r="D476" s="58"/>
      <c r="E476" s="58"/>
      <c r="F476" s="58"/>
      <c r="G476" s="58"/>
      <c r="H476" s="58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8"/>
      <c r="U476" s="58"/>
      <c r="V476" s="58"/>
      <c r="W476" s="58"/>
      <c r="X476" s="58"/>
      <c r="Y476" s="58"/>
      <c r="Z476" s="58"/>
    </row>
    <row r="477" spans="1:26">
      <c r="A477" s="58"/>
      <c r="B477" s="58"/>
      <c r="C477" s="58"/>
      <c r="D477" s="58"/>
      <c r="E477" s="58"/>
      <c r="F477" s="58"/>
      <c r="G477" s="58"/>
      <c r="H477" s="58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8"/>
      <c r="U477" s="58"/>
      <c r="V477" s="58"/>
      <c r="W477" s="58"/>
      <c r="X477" s="58"/>
      <c r="Y477" s="58"/>
      <c r="Z477" s="58"/>
    </row>
    <row r="478" spans="1:26">
      <c r="A478" s="58"/>
      <c r="B478" s="58"/>
      <c r="C478" s="58"/>
      <c r="D478" s="58"/>
      <c r="E478" s="58"/>
      <c r="F478" s="58"/>
      <c r="G478" s="58"/>
      <c r="H478" s="58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8"/>
      <c r="U478" s="58"/>
      <c r="V478" s="58"/>
      <c r="W478" s="58"/>
      <c r="X478" s="58"/>
      <c r="Y478" s="58"/>
      <c r="Z478" s="58"/>
    </row>
    <row r="479" spans="1:26">
      <c r="A479" s="58"/>
      <c r="B479" s="58"/>
      <c r="C479" s="58"/>
      <c r="D479" s="58"/>
      <c r="E479" s="58"/>
      <c r="F479" s="58"/>
      <c r="G479" s="58"/>
      <c r="H479" s="58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8"/>
      <c r="U479" s="58"/>
      <c r="V479" s="58"/>
      <c r="W479" s="58"/>
      <c r="X479" s="58"/>
      <c r="Y479" s="58"/>
      <c r="Z479" s="58"/>
    </row>
    <row r="480" spans="1:26">
      <c r="A480" s="58"/>
      <c r="B480" s="58"/>
      <c r="C480" s="58"/>
      <c r="D480" s="58"/>
      <c r="E480" s="58"/>
      <c r="F480" s="58"/>
      <c r="G480" s="58"/>
      <c r="H480" s="58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8"/>
      <c r="U480" s="58"/>
      <c r="V480" s="58"/>
      <c r="W480" s="58"/>
      <c r="X480" s="58"/>
      <c r="Y480" s="58"/>
      <c r="Z480" s="58"/>
    </row>
    <row r="481" spans="1:26">
      <c r="A481" s="58"/>
      <c r="B481" s="58"/>
      <c r="C481" s="58"/>
      <c r="D481" s="58"/>
      <c r="E481" s="58"/>
      <c r="F481" s="58"/>
      <c r="G481" s="58"/>
      <c r="H481" s="58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8"/>
      <c r="U481" s="58"/>
      <c r="V481" s="58"/>
      <c r="W481" s="58"/>
      <c r="X481" s="58"/>
      <c r="Y481" s="58"/>
      <c r="Z481" s="58"/>
    </row>
    <row r="482" spans="1:26">
      <c r="A482" s="58"/>
      <c r="B482" s="58"/>
      <c r="C482" s="58"/>
      <c r="D482" s="58"/>
      <c r="E482" s="58"/>
      <c r="F482" s="58"/>
      <c r="G482" s="58"/>
      <c r="H482" s="58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8"/>
      <c r="U482" s="58"/>
      <c r="V482" s="58"/>
      <c r="W482" s="58"/>
      <c r="X482" s="58"/>
      <c r="Y482" s="58"/>
      <c r="Z482" s="58"/>
    </row>
    <row r="483" spans="1:26">
      <c r="A483" s="58"/>
      <c r="B483" s="58"/>
      <c r="C483" s="58"/>
      <c r="D483" s="58"/>
      <c r="E483" s="58"/>
      <c r="F483" s="58"/>
      <c r="G483" s="58"/>
      <c r="H483" s="58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8"/>
      <c r="U483" s="58"/>
      <c r="V483" s="58"/>
      <c r="W483" s="58"/>
      <c r="X483" s="58"/>
      <c r="Y483" s="58"/>
      <c r="Z483" s="58"/>
    </row>
    <row r="484" spans="1:26">
      <c r="A484" s="58"/>
      <c r="B484" s="58"/>
      <c r="C484" s="58"/>
      <c r="D484" s="58"/>
      <c r="E484" s="58"/>
      <c r="F484" s="58"/>
      <c r="G484" s="58"/>
      <c r="H484" s="58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8"/>
      <c r="U484" s="58"/>
      <c r="V484" s="58"/>
      <c r="W484" s="58"/>
      <c r="X484" s="58"/>
      <c r="Y484" s="58"/>
      <c r="Z484" s="58"/>
    </row>
    <row r="485" spans="1:26">
      <c r="A485" s="58"/>
      <c r="B485" s="58"/>
      <c r="C485" s="58"/>
      <c r="D485" s="58"/>
      <c r="E485" s="58"/>
      <c r="F485" s="58"/>
      <c r="G485" s="58"/>
      <c r="H485" s="58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8"/>
      <c r="U485" s="58"/>
      <c r="V485" s="58"/>
      <c r="W485" s="58"/>
      <c r="X485" s="58"/>
      <c r="Y485" s="58"/>
      <c r="Z485" s="58"/>
    </row>
    <row r="486" spans="1:26">
      <c r="A486" s="58"/>
      <c r="B486" s="58"/>
      <c r="C486" s="58"/>
      <c r="D486" s="58"/>
      <c r="E486" s="58"/>
      <c r="F486" s="58"/>
      <c r="G486" s="58"/>
      <c r="H486" s="58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8"/>
      <c r="U486" s="58"/>
      <c r="V486" s="58"/>
      <c r="W486" s="58"/>
      <c r="X486" s="58"/>
      <c r="Y486" s="58"/>
      <c r="Z486" s="58"/>
    </row>
    <row r="487" spans="1:26">
      <c r="A487" s="58"/>
      <c r="B487" s="58"/>
      <c r="C487" s="58"/>
      <c r="D487" s="58"/>
      <c r="E487" s="58"/>
      <c r="F487" s="58"/>
      <c r="G487" s="58"/>
      <c r="H487" s="58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8"/>
      <c r="U487" s="58"/>
      <c r="V487" s="58"/>
      <c r="W487" s="58"/>
      <c r="X487" s="58"/>
      <c r="Y487" s="58"/>
      <c r="Z487" s="58"/>
    </row>
    <row r="488" spans="1:26">
      <c r="A488" s="58"/>
      <c r="B488" s="58"/>
      <c r="C488" s="58"/>
      <c r="D488" s="58"/>
      <c r="E488" s="58"/>
      <c r="F488" s="58"/>
      <c r="G488" s="58"/>
      <c r="H488" s="58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8"/>
      <c r="U488" s="58"/>
      <c r="V488" s="58"/>
      <c r="W488" s="58"/>
      <c r="X488" s="58"/>
      <c r="Y488" s="58"/>
      <c r="Z488" s="58"/>
    </row>
    <row r="489" spans="1:26">
      <c r="A489" s="58"/>
      <c r="B489" s="58"/>
      <c r="C489" s="58"/>
      <c r="D489" s="58"/>
      <c r="E489" s="58"/>
      <c r="F489" s="58"/>
      <c r="G489" s="58"/>
      <c r="H489" s="58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8"/>
      <c r="U489" s="58"/>
      <c r="V489" s="58"/>
      <c r="W489" s="58"/>
      <c r="X489" s="58"/>
      <c r="Y489" s="58"/>
      <c r="Z489" s="58"/>
    </row>
    <row r="490" spans="1:26">
      <c r="A490" s="58"/>
      <c r="B490" s="58"/>
      <c r="C490" s="58"/>
      <c r="D490" s="58"/>
      <c r="E490" s="58"/>
      <c r="F490" s="58"/>
      <c r="G490" s="58"/>
      <c r="H490" s="58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8"/>
      <c r="U490" s="58"/>
      <c r="V490" s="58"/>
      <c r="W490" s="58"/>
      <c r="X490" s="58"/>
      <c r="Y490" s="58"/>
      <c r="Z490" s="58"/>
    </row>
    <row r="491" spans="1:26">
      <c r="A491" s="58"/>
      <c r="B491" s="58"/>
      <c r="C491" s="58"/>
      <c r="D491" s="58"/>
      <c r="E491" s="58"/>
      <c r="F491" s="58"/>
      <c r="G491" s="58"/>
      <c r="H491" s="58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8"/>
      <c r="U491" s="58"/>
      <c r="V491" s="58"/>
      <c r="W491" s="58"/>
      <c r="X491" s="58"/>
      <c r="Y491" s="58"/>
      <c r="Z491" s="58"/>
    </row>
    <row r="492" spans="1:26">
      <c r="A492" s="58"/>
      <c r="B492" s="58"/>
      <c r="C492" s="58"/>
      <c r="D492" s="58"/>
      <c r="E492" s="58"/>
      <c r="F492" s="58"/>
      <c r="G492" s="58"/>
      <c r="H492" s="58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8"/>
      <c r="U492" s="58"/>
      <c r="V492" s="58"/>
      <c r="W492" s="58"/>
      <c r="X492" s="58"/>
      <c r="Y492" s="58"/>
      <c r="Z492" s="58"/>
    </row>
    <row r="493" spans="1:26">
      <c r="A493" s="58"/>
      <c r="B493" s="58"/>
      <c r="C493" s="58"/>
      <c r="D493" s="58"/>
      <c r="E493" s="58"/>
      <c r="F493" s="58"/>
      <c r="G493" s="58"/>
      <c r="H493" s="58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8"/>
      <c r="U493" s="58"/>
      <c r="V493" s="58"/>
      <c r="W493" s="58"/>
      <c r="X493" s="58"/>
      <c r="Y493" s="58"/>
      <c r="Z493" s="58"/>
    </row>
    <row r="494" spans="1:26">
      <c r="A494" s="58"/>
      <c r="B494" s="58"/>
      <c r="C494" s="58"/>
      <c r="D494" s="58"/>
      <c r="E494" s="58"/>
      <c r="F494" s="58"/>
      <c r="G494" s="58"/>
      <c r="H494" s="58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8"/>
      <c r="U494" s="58"/>
      <c r="V494" s="58"/>
      <c r="W494" s="58"/>
      <c r="X494" s="58"/>
      <c r="Y494" s="58"/>
      <c r="Z494" s="58"/>
    </row>
    <row r="495" spans="1:26">
      <c r="A495" s="58"/>
      <c r="B495" s="58"/>
      <c r="C495" s="58"/>
      <c r="D495" s="58"/>
      <c r="E495" s="58"/>
      <c r="F495" s="58"/>
      <c r="G495" s="58"/>
      <c r="H495" s="58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8"/>
      <c r="U495" s="58"/>
      <c r="V495" s="58"/>
      <c r="W495" s="58"/>
      <c r="X495" s="58"/>
      <c r="Y495" s="58"/>
      <c r="Z495" s="58"/>
    </row>
    <row r="496" spans="1:26">
      <c r="A496" s="58"/>
      <c r="B496" s="58"/>
      <c r="C496" s="58"/>
      <c r="D496" s="58"/>
      <c r="E496" s="58"/>
      <c r="F496" s="58"/>
      <c r="G496" s="58"/>
      <c r="H496" s="58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8"/>
      <c r="U496" s="58"/>
      <c r="V496" s="58"/>
      <c r="W496" s="58"/>
      <c r="X496" s="58"/>
      <c r="Y496" s="58"/>
      <c r="Z496" s="58"/>
    </row>
    <row r="497" spans="1:26">
      <c r="A497" s="58"/>
      <c r="B497" s="58"/>
      <c r="C497" s="58"/>
      <c r="D497" s="58"/>
      <c r="E497" s="58"/>
      <c r="F497" s="58"/>
      <c r="G497" s="58"/>
      <c r="H497" s="58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8"/>
      <c r="U497" s="58"/>
      <c r="V497" s="58"/>
      <c r="W497" s="58"/>
      <c r="X497" s="58"/>
      <c r="Y497" s="58"/>
      <c r="Z497" s="58"/>
    </row>
    <row r="498" spans="1:26">
      <c r="A498" s="58"/>
      <c r="B498" s="58"/>
      <c r="C498" s="58"/>
      <c r="D498" s="58"/>
      <c r="E498" s="58"/>
      <c r="F498" s="58"/>
      <c r="G498" s="58"/>
      <c r="H498" s="58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8"/>
      <c r="U498" s="58"/>
      <c r="V498" s="58"/>
      <c r="W498" s="58"/>
      <c r="X498" s="58"/>
      <c r="Y498" s="58"/>
      <c r="Z498" s="58"/>
    </row>
    <row r="499" spans="1:26">
      <c r="A499" s="58"/>
      <c r="B499" s="58"/>
      <c r="C499" s="58"/>
      <c r="D499" s="58"/>
      <c r="E499" s="58"/>
      <c r="F499" s="58"/>
      <c r="G499" s="58"/>
      <c r="H499" s="58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8"/>
      <c r="U499" s="58"/>
      <c r="V499" s="58"/>
      <c r="W499" s="58"/>
      <c r="X499" s="58"/>
      <c r="Y499" s="58"/>
      <c r="Z499" s="58"/>
    </row>
    <row r="500" spans="1:26">
      <c r="A500" s="58"/>
      <c r="B500" s="58"/>
      <c r="C500" s="58"/>
      <c r="D500" s="58"/>
      <c r="E500" s="58"/>
      <c r="F500" s="58"/>
      <c r="G500" s="58"/>
      <c r="H500" s="58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8"/>
      <c r="U500" s="58"/>
      <c r="V500" s="58"/>
      <c r="W500" s="58"/>
      <c r="X500" s="58"/>
      <c r="Y500" s="58"/>
      <c r="Z500" s="58"/>
    </row>
    <row r="501" spans="1:26">
      <c r="A501" s="58"/>
      <c r="B501" s="58"/>
      <c r="C501" s="58"/>
      <c r="D501" s="58"/>
      <c r="E501" s="58"/>
      <c r="F501" s="58"/>
      <c r="G501" s="58"/>
      <c r="H501" s="58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8"/>
      <c r="U501" s="58"/>
      <c r="V501" s="58"/>
      <c r="W501" s="58"/>
      <c r="X501" s="58"/>
      <c r="Y501" s="58"/>
      <c r="Z501" s="58"/>
    </row>
    <row r="502" spans="1:26">
      <c r="A502" s="58"/>
      <c r="B502" s="58"/>
      <c r="C502" s="58"/>
      <c r="D502" s="58"/>
      <c r="E502" s="58"/>
      <c r="F502" s="58"/>
      <c r="G502" s="58"/>
      <c r="H502" s="58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8"/>
      <c r="U502" s="58"/>
      <c r="V502" s="58"/>
      <c r="W502" s="58"/>
      <c r="X502" s="58"/>
      <c r="Y502" s="58"/>
      <c r="Z502" s="58"/>
    </row>
    <row r="503" spans="1:26">
      <c r="A503" s="58"/>
      <c r="B503" s="58"/>
      <c r="C503" s="58"/>
      <c r="D503" s="58"/>
      <c r="E503" s="58"/>
      <c r="F503" s="58"/>
      <c r="G503" s="58"/>
      <c r="H503" s="58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8"/>
      <c r="U503" s="58"/>
      <c r="V503" s="58"/>
      <c r="W503" s="58"/>
      <c r="X503" s="58"/>
      <c r="Y503" s="58"/>
      <c r="Z503" s="58"/>
    </row>
    <row r="504" spans="1:26">
      <c r="A504" s="58"/>
      <c r="B504" s="58"/>
      <c r="C504" s="58"/>
      <c r="D504" s="58"/>
      <c r="E504" s="58"/>
      <c r="F504" s="58"/>
      <c r="G504" s="58"/>
      <c r="H504" s="58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8"/>
      <c r="U504" s="58"/>
      <c r="V504" s="58"/>
      <c r="W504" s="58"/>
      <c r="X504" s="58"/>
      <c r="Y504" s="58"/>
      <c r="Z504" s="58"/>
    </row>
    <row r="505" spans="1:26">
      <c r="A505" s="58"/>
      <c r="B505" s="58"/>
      <c r="C505" s="58"/>
      <c r="D505" s="58"/>
      <c r="E505" s="58"/>
      <c r="F505" s="58"/>
      <c r="G505" s="58"/>
      <c r="H505" s="58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8"/>
      <c r="U505" s="58"/>
      <c r="V505" s="58"/>
      <c r="W505" s="58"/>
      <c r="X505" s="58"/>
      <c r="Y505" s="58"/>
      <c r="Z505" s="58"/>
    </row>
    <row r="506" spans="1:26">
      <c r="A506" s="58"/>
      <c r="B506" s="58"/>
      <c r="C506" s="58"/>
      <c r="D506" s="58"/>
      <c r="E506" s="58"/>
      <c r="F506" s="58"/>
      <c r="G506" s="58"/>
      <c r="H506" s="58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8"/>
      <c r="U506" s="58"/>
      <c r="V506" s="58"/>
      <c r="W506" s="58"/>
      <c r="X506" s="58"/>
      <c r="Y506" s="58"/>
      <c r="Z506" s="58"/>
    </row>
    <row r="507" spans="1:26">
      <c r="A507" s="58"/>
      <c r="B507" s="58"/>
      <c r="C507" s="58"/>
      <c r="D507" s="58"/>
      <c r="E507" s="58"/>
      <c r="F507" s="58"/>
      <c r="G507" s="58"/>
      <c r="H507" s="58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8"/>
      <c r="U507" s="58"/>
      <c r="V507" s="58"/>
      <c r="W507" s="58"/>
      <c r="X507" s="58"/>
      <c r="Y507" s="58"/>
      <c r="Z507" s="58"/>
    </row>
    <row r="508" spans="1:26">
      <c r="A508" s="58"/>
      <c r="B508" s="58"/>
      <c r="C508" s="58"/>
      <c r="D508" s="58"/>
      <c r="E508" s="58"/>
      <c r="F508" s="58"/>
      <c r="G508" s="58"/>
      <c r="H508" s="58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8"/>
      <c r="U508" s="58"/>
      <c r="V508" s="58"/>
      <c r="W508" s="58"/>
      <c r="X508" s="58"/>
      <c r="Y508" s="58"/>
      <c r="Z508" s="58"/>
    </row>
    <row r="509" spans="1:26">
      <c r="A509" s="58"/>
      <c r="B509" s="58"/>
      <c r="C509" s="58"/>
      <c r="D509" s="58"/>
      <c r="E509" s="58"/>
      <c r="F509" s="58"/>
      <c r="G509" s="58"/>
      <c r="H509" s="58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8"/>
      <c r="U509" s="58"/>
      <c r="V509" s="58"/>
      <c r="W509" s="58"/>
      <c r="X509" s="58"/>
      <c r="Y509" s="58"/>
      <c r="Z509" s="58"/>
    </row>
    <row r="510" spans="1:26">
      <c r="A510" s="58"/>
      <c r="B510" s="58"/>
      <c r="C510" s="58"/>
      <c r="D510" s="58"/>
      <c r="E510" s="58"/>
      <c r="F510" s="58"/>
      <c r="G510" s="58"/>
      <c r="H510" s="58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8"/>
      <c r="U510" s="58"/>
      <c r="V510" s="58"/>
      <c r="W510" s="58"/>
      <c r="X510" s="58"/>
      <c r="Y510" s="58"/>
      <c r="Z510" s="58"/>
    </row>
    <row r="511" spans="1:26">
      <c r="A511" s="58"/>
      <c r="B511" s="58"/>
      <c r="C511" s="58"/>
      <c r="D511" s="58"/>
      <c r="E511" s="58"/>
      <c r="F511" s="58"/>
      <c r="G511" s="58"/>
      <c r="H511" s="58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8"/>
      <c r="U511" s="58"/>
      <c r="V511" s="58"/>
      <c r="W511" s="58"/>
      <c r="X511" s="58"/>
      <c r="Y511" s="58"/>
      <c r="Z511" s="58"/>
    </row>
    <row r="512" spans="1:26">
      <c r="A512" s="58"/>
      <c r="B512" s="58"/>
      <c r="C512" s="58"/>
      <c r="D512" s="58"/>
      <c r="E512" s="58"/>
      <c r="F512" s="58"/>
      <c r="G512" s="58"/>
      <c r="H512" s="58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8"/>
      <c r="U512" s="58"/>
      <c r="V512" s="58"/>
      <c r="W512" s="58"/>
      <c r="X512" s="58"/>
      <c r="Y512" s="58"/>
      <c r="Z512" s="58"/>
    </row>
    <row r="513" spans="1:26">
      <c r="A513" s="58"/>
      <c r="B513" s="58"/>
      <c r="C513" s="58"/>
      <c r="D513" s="58"/>
      <c r="E513" s="58"/>
      <c r="F513" s="58"/>
      <c r="G513" s="58"/>
      <c r="H513" s="58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8"/>
      <c r="U513" s="58"/>
      <c r="V513" s="58"/>
      <c r="W513" s="58"/>
      <c r="X513" s="58"/>
      <c r="Y513" s="58"/>
      <c r="Z513" s="58"/>
    </row>
    <row r="514" spans="1:26">
      <c r="A514" s="58"/>
      <c r="B514" s="58"/>
      <c r="C514" s="58"/>
      <c r="D514" s="58"/>
      <c r="E514" s="58"/>
      <c r="F514" s="58"/>
      <c r="G514" s="58"/>
      <c r="H514" s="58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8"/>
      <c r="U514" s="58"/>
      <c r="V514" s="58"/>
      <c r="W514" s="58"/>
      <c r="X514" s="58"/>
      <c r="Y514" s="58"/>
      <c r="Z514" s="58"/>
    </row>
    <row r="515" spans="1:26">
      <c r="A515" s="58"/>
      <c r="B515" s="58"/>
      <c r="C515" s="58"/>
      <c r="D515" s="58"/>
      <c r="E515" s="58"/>
      <c r="F515" s="58"/>
      <c r="G515" s="58"/>
      <c r="H515" s="58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8"/>
      <c r="U515" s="58"/>
      <c r="V515" s="58"/>
      <c r="W515" s="58"/>
      <c r="X515" s="58"/>
      <c r="Y515" s="58"/>
      <c r="Z515" s="58"/>
    </row>
    <row r="516" spans="1:26">
      <c r="A516" s="58"/>
      <c r="B516" s="58"/>
      <c r="C516" s="58"/>
      <c r="D516" s="58"/>
      <c r="E516" s="58"/>
      <c r="F516" s="58"/>
      <c r="G516" s="58"/>
      <c r="H516" s="58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8"/>
      <c r="U516" s="58"/>
      <c r="V516" s="58"/>
      <c r="W516" s="58"/>
      <c r="X516" s="58"/>
      <c r="Y516" s="58"/>
      <c r="Z516" s="58"/>
    </row>
    <row r="517" spans="1:26">
      <c r="A517" s="58"/>
      <c r="B517" s="58"/>
      <c r="C517" s="58"/>
      <c r="D517" s="58"/>
      <c r="E517" s="58"/>
      <c r="F517" s="58"/>
      <c r="G517" s="58"/>
      <c r="H517" s="58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8"/>
      <c r="U517" s="58"/>
      <c r="V517" s="58"/>
      <c r="W517" s="58"/>
      <c r="X517" s="58"/>
      <c r="Y517" s="58"/>
      <c r="Z517" s="58"/>
    </row>
    <row r="518" spans="1:26">
      <c r="A518" s="58"/>
      <c r="B518" s="58"/>
      <c r="C518" s="58"/>
      <c r="D518" s="58"/>
      <c r="E518" s="58"/>
      <c r="F518" s="58"/>
      <c r="G518" s="58"/>
      <c r="H518" s="58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8"/>
      <c r="U518" s="58"/>
      <c r="V518" s="58"/>
      <c r="W518" s="58"/>
      <c r="X518" s="58"/>
      <c r="Y518" s="58"/>
      <c r="Z518" s="58"/>
    </row>
    <row r="519" spans="1:26">
      <c r="A519" s="58"/>
      <c r="B519" s="58"/>
      <c r="C519" s="58"/>
      <c r="D519" s="58"/>
      <c r="E519" s="58"/>
      <c r="F519" s="58"/>
      <c r="G519" s="58"/>
      <c r="H519" s="58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8"/>
      <c r="U519" s="58"/>
      <c r="V519" s="58"/>
      <c r="W519" s="58"/>
      <c r="X519" s="58"/>
      <c r="Y519" s="58"/>
      <c r="Z519" s="58"/>
    </row>
    <row r="520" spans="1:26">
      <c r="A520" s="58"/>
      <c r="B520" s="58"/>
      <c r="C520" s="58"/>
      <c r="D520" s="58"/>
      <c r="E520" s="58"/>
      <c r="F520" s="58"/>
      <c r="G520" s="58"/>
      <c r="H520" s="58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8"/>
      <c r="U520" s="58"/>
      <c r="V520" s="58"/>
      <c r="W520" s="58"/>
      <c r="X520" s="58"/>
      <c r="Y520" s="58"/>
      <c r="Z520" s="58"/>
    </row>
    <row r="521" spans="1:26">
      <c r="A521" s="58"/>
      <c r="B521" s="58"/>
      <c r="C521" s="58"/>
      <c r="D521" s="58"/>
      <c r="E521" s="58"/>
      <c r="F521" s="58"/>
      <c r="G521" s="58"/>
      <c r="H521" s="58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8"/>
      <c r="U521" s="58"/>
      <c r="V521" s="58"/>
      <c r="W521" s="58"/>
      <c r="X521" s="58"/>
      <c r="Y521" s="58"/>
      <c r="Z521" s="58"/>
    </row>
    <row r="522" spans="1:26">
      <c r="A522" s="58"/>
      <c r="B522" s="58"/>
      <c r="C522" s="58"/>
      <c r="D522" s="58"/>
      <c r="E522" s="58"/>
      <c r="F522" s="58"/>
      <c r="G522" s="58"/>
      <c r="H522" s="58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8"/>
      <c r="U522" s="58"/>
      <c r="V522" s="58"/>
      <c r="W522" s="58"/>
      <c r="X522" s="58"/>
      <c r="Y522" s="58"/>
      <c r="Z522" s="58"/>
    </row>
    <row r="523" spans="1:26">
      <c r="A523" s="58"/>
      <c r="B523" s="58"/>
      <c r="C523" s="58"/>
      <c r="D523" s="58"/>
      <c r="E523" s="58"/>
      <c r="F523" s="58"/>
      <c r="G523" s="58"/>
      <c r="H523" s="58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8"/>
      <c r="U523" s="58"/>
      <c r="V523" s="58"/>
      <c r="W523" s="58"/>
      <c r="X523" s="58"/>
      <c r="Y523" s="58"/>
      <c r="Z523" s="58"/>
    </row>
    <row r="524" spans="1:26">
      <c r="A524" s="58"/>
      <c r="B524" s="58"/>
      <c r="C524" s="58"/>
      <c r="D524" s="58"/>
      <c r="E524" s="58"/>
      <c r="F524" s="58"/>
      <c r="G524" s="58"/>
      <c r="H524" s="58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8"/>
      <c r="U524" s="58"/>
      <c r="V524" s="58"/>
      <c r="W524" s="58"/>
      <c r="X524" s="58"/>
      <c r="Y524" s="58"/>
      <c r="Z524" s="58"/>
    </row>
    <row r="525" spans="1:26">
      <c r="A525" s="58"/>
      <c r="B525" s="58"/>
      <c r="C525" s="58"/>
      <c r="D525" s="58"/>
      <c r="E525" s="58"/>
      <c r="F525" s="58"/>
      <c r="G525" s="58"/>
      <c r="H525" s="58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8"/>
      <c r="U525" s="58"/>
      <c r="V525" s="58"/>
      <c r="W525" s="58"/>
      <c r="X525" s="58"/>
      <c r="Y525" s="58"/>
      <c r="Z525" s="58"/>
    </row>
    <row r="526" spans="1:26">
      <c r="A526" s="58"/>
      <c r="B526" s="58"/>
      <c r="C526" s="58"/>
      <c r="D526" s="58"/>
      <c r="E526" s="58"/>
      <c r="F526" s="58"/>
      <c r="G526" s="58"/>
      <c r="H526" s="58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8"/>
      <c r="U526" s="58"/>
      <c r="V526" s="58"/>
      <c r="W526" s="58"/>
      <c r="X526" s="58"/>
      <c r="Y526" s="58"/>
      <c r="Z526" s="58"/>
    </row>
    <row r="527" spans="1:26">
      <c r="A527" s="58"/>
      <c r="B527" s="58"/>
      <c r="C527" s="58"/>
      <c r="D527" s="58"/>
      <c r="E527" s="58"/>
      <c r="F527" s="58"/>
      <c r="G527" s="58"/>
      <c r="H527" s="58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8"/>
      <c r="U527" s="58"/>
      <c r="V527" s="58"/>
      <c r="W527" s="58"/>
      <c r="X527" s="58"/>
      <c r="Y527" s="58"/>
      <c r="Z527" s="58"/>
    </row>
    <row r="528" spans="1:26">
      <c r="A528" s="58"/>
      <c r="B528" s="58"/>
      <c r="C528" s="58"/>
      <c r="D528" s="58"/>
      <c r="E528" s="58"/>
      <c r="F528" s="58"/>
      <c r="G528" s="58"/>
      <c r="H528" s="58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8"/>
      <c r="U528" s="58"/>
      <c r="V528" s="58"/>
      <c r="W528" s="58"/>
      <c r="X528" s="58"/>
      <c r="Y528" s="58"/>
      <c r="Z528" s="58"/>
    </row>
    <row r="529" spans="1:26">
      <c r="A529" s="58"/>
      <c r="B529" s="58"/>
      <c r="C529" s="58"/>
      <c r="D529" s="58"/>
      <c r="E529" s="58"/>
      <c r="F529" s="58"/>
      <c r="G529" s="58"/>
      <c r="H529" s="58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8"/>
      <c r="U529" s="58"/>
      <c r="V529" s="58"/>
      <c r="W529" s="58"/>
      <c r="X529" s="58"/>
      <c r="Y529" s="58"/>
      <c r="Z529" s="58"/>
    </row>
    <row r="530" spans="1:26">
      <c r="A530" s="58"/>
      <c r="B530" s="58"/>
      <c r="C530" s="58"/>
      <c r="D530" s="58"/>
      <c r="E530" s="58"/>
      <c r="F530" s="58"/>
      <c r="G530" s="58"/>
      <c r="H530" s="58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8"/>
      <c r="U530" s="58"/>
      <c r="V530" s="58"/>
      <c r="W530" s="58"/>
      <c r="X530" s="58"/>
      <c r="Y530" s="58"/>
      <c r="Z530" s="58"/>
    </row>
    <row r="531" spans="1:26">
      <c r="A531" s="58"/>
      <c r="B531" s="58"/>
      <c r="C531" s="58"/>
      <c r="D531" s="58"/>
      <c r="E531" s="58"/>
      <c r="F531" s="58"/>
      <c r="G531" s="58"/>
      <c r="H531" s="58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8"/>
      <c r="U531" s="58"/>
      <c r="V531" s="58"/>
      <c r="W531" s="58"/>
      <c r="X531" s="58"/>
      <c r="Y531" s="58"/>
      <c r="Z531" s="58"/>
    </row>
    <row r="532" spans="1:26">
      <c r="A532" s="58"/>
      <c r="B532" s="58"/>
      <c r="C532" s="58"/>
      <c r="D532" s="58"/>
      <c r="E532" s="58"/>
      <c r="F532" s="58"/>
      <c r="G532" s="58"/>
      <c r="H532" s="58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8"/>
      <c r="U532" s="58"/>
      <c r="V532" s="58"/>
      <c r="W532" s="58"/>
      <c r="X532" s="58"/>
      <c r="Y532" s="58"/>
      <c r="Z532" s="58"/>
    </row>
    <row r="533" spans="1:26">
      <c r="A533" s="58"/>
      <c r="B533" s="58"/>
      <c r="C533" s="58"/>
      <c r="D533" s="58"/>
      <c r="E533" s="58"/>
      <c r="F533" s="58"/>
      <c r="G533" s="58"/>
      <c r="H533" s="58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8"/>
      <c r="U533" s="58"/>
      <c r="V533" s="58"/>
      <c r="W533" s="58"/>
      <c r="X533" s="58"/>
      <c r="Y533" s="58"/>
      <c r="Z533" s="58"/>
    </row>
    <row r="534" spans="1:26">
      <c r="A534" s="58"/>
      <c r="B534" s="58"/>
      <c r="C534" s="58"/>
      <c r="D534" s="58"/>
      <c r="E534" s="58"/>
      <c r="F534" s="58"/>
      <c r="G534" s="58"/>
      <c r="H534" s="58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8"/>
      <c r="U534" s="58"/>
      <c r="V534" s="58"/>
      <c r="W534" s="58"/>
      <c r="X534" s="58"/>
      <c r="Y534" s="58"/>
      <c r="Z534" s="58"/>
    </row>
    <row r="535" spans="1:26">
      <c r="A535" s="58"/>
      <c r="B535" s="58"/>
      <c r="C535" s="58"/>
      <c r="D535" s="58"/>
      <c r="E535" s="58"/>
      <c r="F535" s="58"/>
      <c r="G535" s="58"/>
      <c r="H535" s="58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8"/>
      <c r="U535" s="58"/>
      <c r="V535" s="58"/>
      <c r="W535" s="58"/>
      <c r="X535" s="58"/>
      <c r="Y535" s="58"/>
      <c r="Z535" s="58"/>
    </row>
    <row r="536" spans="1:26">
      <c r="A536" s="58"/>
      <c r="B536" s="58"/>
      <c r="C536" s="58"/>
      <c r="D536" s="58"/>
      <c r="E536" s="58"/>
      <c r="F536" s="58"/>
      <c r="G536" s="58"/>
      <c r="H536" s="58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8"/>
      <c r="U536" s="58"/>
      <c r="V536" s="58"/>
      <c r="W536" s="58"/>
      <c r="X536" s="58"/>
      <c r="Y536" s="58"/>
      <c r="Z536" s="58"/>
    </row>
    <row r="537" spans="1:26">
      <c r="A537" s="58"/>
      <c r="B537" s="58"/>
      <c r="C537" s="58"/>
      <c r="D537" s="58"/>
      <c r="E537" s="58"/>
      <c r="F537" s="58"/>
      <c r="G537" s="58"/>
      <c r="H537" s="58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8"/>
      <c r="U537" s="58"/>
      <c r="V537" s="58"/>
      <c r="W537" s="58"/>
      <c r="X537" s="58"/>
      <c r="Y537" s="58"/>
      <c r="Z537" s="58"/>
    </row>
    <row r="538" spans="1:26">
      <c r="A538" s="58"/>
      <c r="B538" s="58"/>
      <c r="C538" s="58"/>
      <c r="D538" s="58"/>
      <c r="E538" s="58"/>
      <c r="F538" s="58"/>
      <c r="G538" s="58"/>
      <c r="H538" s="58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8"/>
      <c r="U538" s="58"/>
      <c r="V538" s="58"/>
      <c r="W538" s="58"/>
      <c r="X538" s="58"/>
      <c r="Y538" s="58"/>
      <c r="Z538" s="58"/>
    </row>
    <row r="539" spans="1:26">
      <c r="A539" s="58"/>
      <c r="B539" s="58"/>
      <c r="C539" s="58"/>
      <c r="D539" s="58"/>
      <c r="E539" s="58"/>
      <c r="F539" s="58"/>
      <c r="G539" s="58"/>
      <c r="H539" s="58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8"/>
      <c r="U539" s="58"/>
      <c r="V539" s="58"/>
      <c r="W539" s="58"/>
      <c r="X539" s="58"/>
      <c r="Y539" s="58"/>
      <c r="Z539" s="58"/>
    </row>
    <row r="540" spans="1:26">
      <c r="A540" s="58"/>
      <c r="B540" s="58"/>
      <c r="C540" s="58"/>
      <c r="D540" s="58"/>
      <c r="E540" s="58"/>
      <c r="F540" s="58"/>
      <c r="G540" s="58"/>
      <c r="H540" s="58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8"/>
      <c r="U540" s="58"/>
      <c r="V540" s="58"/>
      <c r="W540" s="58"/>
      <c r="X540" s="58"/>
      <c r="Y540" s="58"/>
      <c r="Z540" s="58"/>
    </row>
    <row r="541" spans="1:26">
      <c r="A541" s="58"/>
      <c r="B541" s="58"/>
      <c r="C541" s="58"/>
      <c r="D541" s="58"/>
      <c r="E541" s="58"/>
      <c r="F541" s="58"/>
      <c r="G541" s="58"/>
      <c r="H541" s="58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8"/>
      <c r="U541" s="58"/>
      <c r="V541" s="58"/>
      <c r="W541" s="58"/>
      <c r="X541" s="58"/>
      <c r="Y541" s="58"/>
      <c r="Z541" s="58"/>
    </row>
    <row r="542" spans="1:26">
      <c r="A542" s="58"/>
      <c r="B542" s="58"/>
      <c r="C542" s="58"/>
      <c r="D542" s="58"/>
      <c r="E542" s="58"/>
      <c r="F542" s="58"/>
      <c r="G542" s="58"/>
      <c r="H542" s="58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8"/>
      <c r="U542" s="58"/>
      <c r="V542" s="58"/>
      <c r="W542" s="58"/>
      <c r="X542" s="58"/>
      <c r="Y542" s="58"/>
      <c r="Z542" s="58"/>
    </row>
    <row r="543" spans="1:26">
      <c r="A543" s="58"/>
      <c r="B543" s="58"/>
      <c r="C543" s="58"/>
      <c r="D543" s="58"/>
      <c r="E543" s="58"/>
      <c r="F543" s="58"/>
      <c r="G543" s="58"/>
      <c r="H543" s="58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8"/>
      <c r="U543" s="58"/>
      <c r="V543" s="58"/>
      <c r="W543" s="58"/>
      <c r="X543" s="58"/>
      <c r="Y543" s="58"/>
      <c r="Z543" s="58"/>
    </row>
    <row r="544" spans="1:26">
      <c r="A544" s="58"/>
      <c r="B544" s="58"/>
      <c r="C544" s="58"/>
      <c r="D544" s="58"/>
      <c r="E544" s="58"/>
      <c r="F544" s="58"/>
      <c r="G544" s="58"/>
      <c r="H544" s="58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8"/>
      <c r="U544" s="58"/>
      <c r="V544" s="58"/>
      <c r="W544" s="58"/>
      <c r="X544" s="58"/>
      <c r="Y544" s="58"/>
      <c r="Z544" s="58"/>
    </row>
    <row r="545" spans="1:26">
      <c r="A545" s="58"/>
      <c r="B545" s="58"/>
      <c r="C545" s="58"/>
      <c r="D545" s="58"/>
      <c r="E545" s="58"/>
      <c r="F545" s="58"/>
      <c r="G545" s="58"/>
      <c r="H545" s="58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8"/>
      <c r="U545" s="58"/>
      <c r="V545" s="58"/>
      <c r="W545" s="58"/>
      <c r="X545" s="58"/>
      <c r="Y545" s="58"/>
      <c r="Z545" s="58"/>
    </row>
    <row r="546" spans="1:26">
      <c r="A546" s="58"/>
      <c r="B546" s="58"/>
      <c r="C546" s="58"/>
      <c r="D546" s="58"/>
      <c r="E546" s="58"/>
      <c r="F546" s="58"/>
      <c r="G546" s="58"/>
      <c r="H546" s="58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8"/>
      <c r="U546" s="58"/>
      <c r="V546" s="58"/>
      <c r="W546" s="58"/>
      <c r="X546" s="58"/>
      <c r="Y546" s="58"/>
      <c r="Z546" s="58"/>
    </row>
    <row r="547" spans="1:26">
      <c r="A547" s="58"/>
      <c r="B547" s="58"/>
      <c r="C547" s="58"/>
      <c r="D547" s="58"/>
      <c r="E547" s="58"/>
      <c r="F547" s="58"/>
      <c r="G547" s="58"/>
      <c r="H547" s="58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8"/>
      <c r="U547" s="58"/>
      <c r="V547" s="58"/>
      <c r="W547" s="58"/>
      <c r="X547" s="58"/>
      <c r="Y547" s="58"/>
      <c r="Z547" s="58"/>
    </row>
    <row r="548" spans="1:26">
      <c r="A548" s="58"/>
      <c r="B548" s="58"/>
      <c r="C548" s="58"/>
      <c r="D548" s="58"/>
      <c r="E548" s="58"/>
      <c r="F548" s="58"/>
      <c r="G548" s="58"/>
      <c r="H548" s="58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8"/>
      <c r="U548" s="58"/>
      <c r="V548" s="58"/>
      <c r="W548" s="58"/>
      <c r="X548" s="58"/>
      <c r="Y548" s="58"/>
      <c r="Z548" s="58"/>
    </row>
    <row r="549" spans="1:26">
      <c r="A549" s="58"/>
      <c r="B549" s="58"/>
      <c r="C549" s="58"/>
      <c r="D549" s="58"/>
      <c r="E549" s="58"/>
      <c r="F549" s="58"/>
      <c r="G549" s="58"/>
      <c r="H549" s="58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8"/>
      <c r="U549" s="58"/>
      <c r="V549" s="58"/>
      <c r="W549" s="58"/>
      <c r="X549" s="58"/>
      <c r="Y549" s="58"/>
      <c r="Z549" s="58"/>
    </row>
    <row r="550" spans="1:26">
      <c r="A550" s="58"/>
      <c r="B550" s="58"/>
      <c r="C550" s="58"/>
      <c r="D550" s="58"/>
      <c r="E550" s="58"/>
      <c r="F550" s="58"/>
      <c r="G550" s="58"/>
      <c r="H550" s="58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8"/>
      <c r="U550" s="58"/>
      <c r="V550" s="58"/>
      <c r="W550" s="58"/>
      <c r="X550" s="58"/>
      <c r="Y550" s="58"/>
      <c r="Z550" s="58"/>
    </row>
    <row r="551" spans="1:26">
      <c r="A551" s="58"/>
      <c r="B551" s="58"/>
      <c r="C551" s="58"/>
      <c r="D551" s="58"/>
      <c r="E551" s="58"/>
      <c r="F551" s="58"/>
      <c r="G551" s="58"/>
      <c r="H551" s="58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8"/>
      <c r="U551" s="58"/>
      <c r="V551" s="58"/>
      <c r="W551" s="58"/>
      <c r="X551" s="58"/>
      <c r="Y551" s="58"/>
      <c r="Z551" s="58"/>
    </row>
    <row r="552" spans="1:26">
      <c r="A552" s="58"/>
      <c r="B552" s="58"/>
      <c r="C552" s="58"/>
      <c r="D552" s="58"/>
      <c r="E552" s="58"/>
      <c r="F552" s="58"/>
      <c r="G552" s="58"/>
      <c r="H552" s="58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8"/>
      <c r="U552" s="58"/>
      <c r="V552" s="58"/>
      <c r="W552" s="58"/>
      <c r="X552" s="58"/>
      <c r="Y552" s="58"/>
      <c r="Z552" s="58"/>
    </row>
    <row r="553" spans="1:26">
      <c r="A553" s="58"/>
      <c r="B553" s="58"/>
      <c r="C553" s="58"/>
      <c r="D553" s="58"/>
      <c r="E553" s="58"/>
      <c r="F553" s="58"/>
      <c r="G553" s="58"/>
      <c r="H553" s="58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8"/>
      <c r="U553" s="58"/>
      <c r="V553" s="58"/>
      <c r="W553" s="58"/>
      <c r="X553" s="58"/>
      <c r="Y553" s="58"/>
      <c r="Z553" s="58"/>
    </row>
    <row r="554" spans="1:26">
      <c r="A554" s="58"/>
      <c r="B554" s="58"/>
      <c r="C554" s="58"/>
      <c r="D554" s="58"/>
      <c r="E554" s="58"/>
      <c r="F554" s="58"/>
      <c r="G554" s="58"/>
      <c r="H554" s="58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8"/>
      <c r="U554" s="58"/>
      <c r="V554" s="58"/>
      <c r="W554" s="58"/>
      <c r="X554" s="58"/>
      <c r="Y554" s="58"/>
      <c r="Z554" s="58"/>
    </row>
    <row r="555" spans="1:26">
      <c r="A555" s="58"/>
      <c r="B555" s="58"/>
      <c r="C555" s="58"/>
      <c r="D555" s="58"/>
      <c r="E555" s="58"/>
      <c r="F555" s="58"/>
      <c r="G555" s="58"/>
      <c r="H555" s="58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8"/>
      <c r="U555" s="58"/>
      <c r="V555" s="58"/>
      <c r="W555" s="58"/>
      <c r="X555" s="58"/>
      <c r="Y555" s="58"/>
      <c r="Z555" s="58"/>
    </row>
    <row r="556" spans="1:26">
      <c r="A556" s="58"/>
      <c r="B556" s="58"/>
      <c r="C556" s="58"/>
      <c r="D556" s="58"/>
      <c r="E556" s="58"/>
      <c r="F556" s="58"/>
      <c r="G556" s="58"/>
      <c r="H556" s="58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8"/>
      <c r="U556" s="58"/>
      <c r="V556" s="58"/>
      <c r="W556" s="58"/>
      <c r="X556" s="58"/>
      <c r="Y556" s="58"/>
      <c r="Z556" s="58"/>
    </row>
    <row r="557" spans="1:26">
      <c r="A557" s="58"/>
      <c r="B557" s="58"/>
      <c r="C557" s="58"/>
      <c r="D557" s="58"/>
      <c r="E557" s="58"/>
      <c r="F557" s="58"/>
      <c r="G557" s="58"/>
      <c r="H557" s="58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8"/>
      <c r="U557" s="58"/>
      <c r="V557" s="58"/>
      <c r="W557" s="58"/>
      <c r="X557" s="58"/>
      <c r="Y557" s="58"/>
      <c r="Z557" s="58"/>
    </row>
    <row r="558" spans="1:26">
      <c r="A558" s="58"/>
      <c r="B558" s="58"/>
      <c r="C558" s="58"/>
      <c r="D558" s="58"/>
      <c r="E558" s="58"/>
      <c r="F558" s="58"/>
      <c r="G558" s="58"/>
      <c r="H558" s="58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8"/>
      <c r="U558" s="58"/>
      <c r="V558" s="58"/>
      <c r="W558" s="58"/>
      <c r="X558" s="58"/>
      <c r="Y558" s="58"/>
      <c r="Z558" s="58"/>
    </row>
    <row r="559" spans="1:26">
      <c r="A559" s="58"/>
      <c r="B559" s="58"/>
      <c r="C559" s="58"/>
      <c r="D559" s="58"/>
      <c r="E559" s="58"/>
      <c r="F559" s="58"/>
      <c r="G559" s="58"/>
      <c r="H559" s="58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8"/>
      <c r="U559" s="58"/>
      <c r="V559" s="58"/>
      <c r="W559" s="58"/>
      <c r="X559" s="58"/>
      <c r="Y559" s="58"/>
      <c r="Z559" s="58"/>
    </row>
    <row r="560" spans="1:26">
      <c r="A560" s="58"/>
      <c r="B560" s="58"/>
      <c r="C560" s="58"/>
      <c r="D560" s="58"/>
      <c r="E560" s="58"/>
      <c r="F560" s="58"/>
      <c r="G560" s="58"/>
      <c r="H560" s="58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8"/>
      <c r="U560" s="58"/>
      <c r="V560" s="58"/>
      <c r="W560" s="58"/>
      <c r="X560" s="58"/>
      <c r="Y560" s="58"/>
      <c r="Z560" s="58"/>
    </row>
    <row r="561" spans="1:26">
      <c r="A561" s="58"/>
      <c r="B561" s="58"/>
      <c r="C561" s="58"/>
      <c r="D561" s="58"/>
      <c r="E561" s="58"/>
      <c r="F561" s="58"/>
      <c r="G561" s="58"/>
      <c r="H561" s="58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8"/>
      <c r="U561" s="58"/>
      <c r="V561" s="58"/>
      <c r="W561" s="58"/>
      <c r="X561" s="58"/>
      <c r="Y561" s="58"/>
      <c r="Z561" s="58"/>
    </row>
    <row r="562" spans="1:26">
      <c r="A562" s="58"/>
      <c r="B562" s="58"/>
      <c r="C562" s="58"/>
      <c r="D562" s="58"/>
      <c r="E562" s="58"/>
      <c r="F562" s="58"/>
      <c r="G562" s="58"/>
      <c r="H562" s="58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8"/>
      <c r="U562" s="58"/>
      <c r="V562" s="58"/>
      <c r="W562" s="58"/>
      <c r="X562" s="58"/>
      <c r="Y562" s="58"/>
      <c r="Z562" s="58"/>
    </row>
    <row r="563" spans="1:26">
      <c r="A563" s="58"/>
      <c r="B563" s="58"/>
      <c r="C563" s="58"/>
      <c r="D563" s="58"/>
      <c r="E563" s="58"/>
      <c r="F563" s="58"/>
      <c r="G563" s="58"/>
      <c r="H563" s="58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8"/>
      <c r="U563" s="58"/>
      <c r="V563" s="58"/>
      <c r="W563" s="58"/>
      <c r="X563" s="58"/>
      <c r="Y563" s="58"/>
      <c r="Z563" s="58"/>
    </row>
    <row r="564" spans="1:26">
      <c r="A564" s="58"/>
      <c r="B564" s="58"/>
      <c r="C564" s="58"/>
      <c r="D564" s="58"/>
      <c r="E564" s="58"/>
      <c r="F564" s="58"/>
      <c r="G564" s="58"/>
      <c r="H564" s="58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8"/>
      <c r="U564" s="58"/>
      <c r="V564" s="58"/>
      <c r="W564" s="58"/>
      <c r="X564" s="58"/>
      <c r="Y564" s="58"/>
      <c r="Z564" s="58"/>
    </row>
    <row r="565" spans="1:26">
      <c r="A565" s="58"/>
      <c r="B565" s="58"/>
      <c r="C565" s="58"/>
      <c r="D565" s="58"/>
      <c r="E565" s="58"/>
      <c r="F565" s="58"/>
      <c r="G565" s="58"/>
      <c r="H565" s="58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8"/>
      <c r="U565" s="58"/>
      <c r="V565" s="58"/>
      <c r="W565" s="58"/>
      <c r="X565" s="58"/>
      <c r="Y565" s="58"/>
      <c r="Z565" s="58"/>
    </row>
    <row r="566" spans="1:26">
      <c r="A566" s="58"/>
      <c r="B566" s="58"/>
      <c r="C566" s="58"/>
      <c r="D566" s="58"/>
      <c r="E566" s="58"/>
      <c r="F566" s="58"/>
      <c r="G566" s="58"/>
      <c r="H566" s="58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8"/>
      <c r="U566" s="58"/>
      <c r="V566" s="58"/>
      <c r="W566" s="58"/>
      <c r="X566" s="58"/>
      <c r="Y566" s="58"/>
      <c r="Z566" s="58"/>
    </row>
    <row r="567" spans="1:26">
      <c r="A567" s="58"/>
      <c r="B567" s="58"/>
      <c r="C567" s="58"/>
      <c r="D567" s="58"/>
      <c r="E567" s="58"/>
      <c r="F567" s="58"/>
      <c r="G567" s="58"/>
      <c r="H567" s="58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8"/>
      <c r="U567" s="58"/>
      <c r="V567" s="58"/>
      <c r="W567" s="58"/>
      <c r="X567" s="58"/>
      <c r="Y567" s="58"/>
      <c r="Z567" s="58"/>
    </row>
    <row r="568" spans="1:26">
      <c r="A568" s="58"/>
      <c r="B568" s="58"/>
      <c r="C568" s="58"/>
      <c r="D568" s="58"/>
      <c r="E568" s="58"/>
      <c r="F568" s="58"/>
      <c r="G568" s="58"/>
      <c r="H568" s="58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8"/>
      <c r="U568" s="58"/>
      <c r="V568" s="58"/>
      <c r="W568" s="58"/>
      <c r="X568" s="58"/>
      <c r="Y568" s="58"/>
      <c r="Z568" s="58"/>
    </row>
    <row r="569" spans="1:26">
      <c r="A569" s="58"/>
      <c r="B569" s="58"/>
      <c r="C569" s="58"/>
      <c r="D569" s="58"/>
      <c r="E569" s="58"/>
      <c r="F569" s="58"/>
      <c r="G569" s="58"/>
      <c r="H569" s="58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8"/>
      <c r="U569" s="58"/>
      <c r="V569" s="58"/>
      <c r="W569" s="58"/>
      <c r="X569" s="58"/>
      <c r="Y569" s="58"/>
      <c r="Z569" s="58"/>
    </row>
    <row r="570" spans="1:26">
      <c r="A570" s="58"/>
      <c r="B570" s="58"/>
      <c r="C570" s="58"/>
      <c r="D570" s="58"/>
      <c r="E570" s="58"/>
      <c r="F570" s="58"/>
      <c r="G570" s="58"/>
      <c r="H570" s="58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8"/>
      <c r="U570" s="58"/>
      <c r="V570" s="58"/>
      <c r="W570" s="58"/>
      <c r="X570" s="58"/>
      <c r="Y570" s="58"/>
      <c r="Z570" s="58"/>
    </row>
    <row r="571" spans="1:26">
      <c r="A571" s="58"/>
      <c r="B571" s="58"/>
      <c r="C571" s="58"/>
      <c r="D571" s="58"/>
      <c r="E571" s="58"/>
      <c r="F571" s="58"/>
      <c r="G571" s="58"/>
      <c r="H571" s="58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8"/>
      <c r="U571" s="58"/>
      <c r="V571" s="58"/>
      <c r="W571" s="58"/>
      <c r="X571" s="58"/>
      <c r="Y571" s="58"/>
      <c r="Z571" s="58"/>
    </row>
    <row r="572" spans="1:26">
      <c r="A572" s="58"/>
      <c r="B572" s="58"/>
      <c r="C572" s="58"/>
      <c r="D572" s="58"/>
      <c r="E572" s="58"/>
      <c r="F572" s="58"/>
      <c r="G572" s="58"/>
      <c r="H572" s="58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8"/>
      <c r="U572" s="58"/>
      <c r="V572" s="58"/>
      <c r="W572" s="58"/>
      <c r="X572" s="58"/>
      <c r="Y572" s="58"/>
      <c r="Z572" s="58"/>
    </row>
    <row r="573" spans="1:26">
      <c r="A573" s="58"/>
      <c r="B573" s="58"/>
      <c r="C573" s="58"/>
      <c r="D573" s="58"/>
      <c r="E573" s="58"/>
      <c r="F573" s="58"/>
      <c r="G573" s="58"/>
      <c r="H573" s="58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8"/>
      <c r="U573" s="58"/>
      <c r="V573" s="58"/>
      <c r="W573" s="58"/>
      <c r="X573" s="58"/>
      <c r="Y573" s="58"/>
      <c r="Z573" s="58"/>
    </row>
    <row r="574" spans="1:26">
      <c r="A574" s="58"/>
      <c r="B574" s="58"/>
      <c r="C574" s="58"/>
      <c r="D574" s="58"/>
      <c r="E574" s="58"/>
      <c r="F574" s="58"/>
      <c r="G574" s="58"/>
      <c r="H574" s="58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8"/>
      <c r="U574" s="58"/>
      <c r="V574" s="58"/>
      <c r="W574" s="58"/>
      <c r="X574" s="58"/>
      <c r="Y574" s="58"/>
      <c r="Z574" s="58"/>
    </row>
    <row r="575" spans="1:26">
      <c r="A575" s="58"/>
      <c r="B575" s="58"/>
      <c r="C575" s="58"/>
      <c r="D575" s="58"/>
      <c r="E575" s="58"/>
      <c r="F575" s="58"/>
      <c r="G575" s="58"/>
      <c r="H575" s="58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8"/>
      <c r="U575" s="58"/>
      <c r="V575" s="58"/>
      <c r="W575" s="58"/>
      <c r="X575" s="58"/>
      <c r="Y575" s="58"/>
      <c r="Z575" s="58"/>
    </row>
    <row r="576" spans="1:26">
      <c r="A576" s="58"/>
      <c r="B576" s="58"/>
      <c r="C576" s="58"/>
      <c r="D576" s="58"/>
      <c r="E576" s="58"/>
      <c r="F576" s="58"/>
      <c r="G576" s="58"/>
      <c r="H576" s="58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8"/>
      <c r="U576" s="58"/>
      <c r="V576" s="58"/>
      <c r="W576" s="58"/>
      <c r="X576" s="58"/>
      <c r="Y576" s="58"/>
      <c r="Z576" s="58"/>
    </row>
    <row r="577" spans="1:26">
      <c r="A577" s="58"/>
      <c r="B577" s="58"/>
      <c r="C577" s="58"/>
      <c r="D577" s="58"/>
      <c r="E577" s="58"/>
      <c r="F577" s="58"/>
      <c r="G577" s="58"/>
      <c r="H577" s="58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8"/>
      <c r="U577" s="58"/>
      <c r="V577" s="58"/>
      <c r="W577" s="58"/>
      <c r="X577" s="58"/>
      <c r="Y577" s="58"/>
      <c r="Z577" s="58"/>
    </row>
    <row r="578" spans="1:26">
      <c r="A578" s="58"/>
      <c r="B578" s="58"/>
      <c r="C578" s="58"/>
      <c r="D578" s="58"/>
      <c r="E578" s="58"/>
      <c r="F578" s="58"/>
      <c r="G578" s="58"/>
      <c r="H578" s="58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8"/>
      <c r="U578" s="58"/>
      <c r="V578" s="58"/>
      <c r="W578" s="58"/>
      <c r="X578" s="58"/>
      <c r="Y578" s="58"/>
      <c r="Z578" s="58"/>
    </row>
    <row r="579" spans="1:26">
      <c r="A579" s="58"/>
      <c r="B579" s="58"/>
      <c r="C579" s="58"/>
      <c r="D579" s="58"/>
      <c r="E579" s="58"/>
      <c r="F579" s="58"/>
      <c r="G579" s="58"/>
      <c r="H579" s="58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8"/>
      <c r="U579" s="58"/>
      <c r="V579" s="58"/>
      <c r="W579" s="58"/>
      <c r="X579" s="58"/>
      <c r="Y579" s="58"/>
      <c r="Z579" s="58"/>
    </row>
    <row r="580" spans="1:26">
      <c r="A580" s="58"/>
      <c r="B580" s="58"/>
      <c r="C580" s="58"/>
      <c r="D580" s="58"/>
      <c r="E580" s="58"/>
      <c r="F580" s="58"/>
      <c r="G580" s="58"/>
      <c r="H580" s="58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8"/>
      <c r="U580" s="58"/>
      <c r="V580" s="58"/>
      <c r="W580" s="58"/>
      <c r="X580" s="58"/>
      <c r="Y580" s="58"/>
      <c r="Z580" s="58"/>
    </row>
    <row r="581" spans="1:26">
      <c r="A581" s="58"/>
      <c r="B581" s="58"/>
      <c r="C581" s="58"/>
      <c r="D581" s="58"/>
      <c r="E581" s="58"/>
      <c r="F581" s="58"/>
      <c r="G581" s="58"/>
      <c r="H581" s="58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8"/>
      <c r="U581" s="58"/>
      <c r="V581" s="58"/>
      <c r="W581" s="58"/>
      <c r="X581" s="58"/>
      <c r="Y581" s="58"/>
      <c r="Z581" s="58"/>
    </row>
    <row r="582" spans="1:26">
      <c r="A582" s="58"/>
      <c r="B582" s="58"/>
      <c r="C582" s="58"/>
      <c r="D582" s="58"/>
      <c r="E582" s="58"/>
      <c r="F582" s="58"/>
      <c r="G582" s="58"/>
      <c r="H582" s="58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8"/>
      <c r="U582" s="58"/>
      <c r="V582" s="58"/>
      <c r="W582" s="58"/>
      <c r="X582" s="58"/>
      <c r="Y582" s="58"/>
      <c r="Z582" s="58"/>
    </row>
    <row r="583" spans="1:26">
      <c r="A583" s="58"/>
      <c r="B583" s="58"/>
      <c r="C583" s="58"/>
      <c r="D583" s="58"/>
      <c r="E583" s="58"/>
      <c r="F583" s="58"/>
      <c r="G583" s="58"/>
      <c r="H583" s="58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8"/>
      <c r="U583" s="58"/>
      <c r="V583" s="58"/>
      <c r="W583" s="58"/>
      <c r="X583" s="58"/>
      <c r="Y583" s="58"/>
      <c r="Z583" s="58"/>
    </row>
    <row r="584" spans="1:26">
      <c r="A584" s="58"/>
      <c r="B584" s="58"/>
      <c r="C584" s="58"/>
      <c r="D584" s="58"/>
      <c r="E584" s="58"/>
      <c r="F584" s="58"/>
      <c r="G584" s="58"/>
      <c r="H584" s="58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8"/>
      <c r="U584" s="58"/>
      <c r="V584" s="58"/>
      <c r="W584" s="58"/>
      <c r="X584" s="58"/>
      <c r="Y584" s="58"/>
      <c r="Z584" s="58"/>
    </row>
    <row r="585" spans="1:26">
      <c r="A585" s="58"/>
      <c r="B585" s="58"/>
      <c r="C585" s="58"/>
      <c r="D585" s="58"/>
      <c r="E585" s="58"/>
      <c r="F585" s="58"/>
      <c r="G585" s="58"/>
      <c r="H585" s="58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8"/>
      <c r="U585" s="58"/>
      <c r="V585" s="58"/>
      <c r="W585" s="58"/>
      <c r="X585" s="58"/>
      <c r="Y585" s="58"/>
      <c r="Z585" s="58"/>
    </row>
    <row r="586" spans="1:26">
      <c r="A586" s="58"/>
      <c r="B586" s="58"/>
      <c r="C586" s="58"/>
      <c r="D586" s="58"/>
      <c r="E586" s="58"/>
      <c r="F586" s="58"/>
      <c r="G586" s="58"/>
      <c r="H586" s="58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8"/>
      <c r="U586" s="58"/>
      <c r="V586" s="58"/>
      <c r="W586" s="58"/>
      <c r="X586" s="58"/>
      <c r="Y586" s="58"/>
      <c r="Z586" s="58"/>
    </row>
    <row r="587" spans="1:26">
      <c r="A587" s="58"/>
      <c r="B587" s="58"/>
      <c r="C587" s="58"/>
      <c r="D587" s="58"/>
      <c r="E587" s="58"/>
      <c r="F587" s="58"/>
      <c r="G587" s="58"/>
      <c r="H587" s="58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8"/>
      <c r="U587" s="58"/>
      <c r="V587" s="58"/>
      <c r="W587" s="58"/>
      <c r="X587" s="58"/>
      <c r="Y587" s="58"/>
      <c r="Z587" s="58"/>
    </row>
    <row r="588" spans="1:26">
      <c r="A588" s="58"/>
      <c r="B588" s="58"/>
      <c r="C588" s="58"/>
      <c r="D588" s="58"/>
      <c r="E588" s="58"/>
      <c r="F588" s="58"/>
      <c r="G588" s="58"/>
      <c r="H588" s="58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8"/>
      <c r="U588" s="58"/>
      <c r="V588" s="58"/>
      <c r="W588" s="58"/>
      <c r="X588" s="58"/>
      <c r="Y588" s="58"/>
      <c r="Z588" s="58"/>
    </row>
    <row r="589" spans="1:26">
      <c r="A589" s="58"/>
      <c r="B589" s="58"/>
      <c r="C589" s="58"/>
      <c r="D589" s="58"/>
      <c r="E589" s="58"/>
      <c r="F589" s="58"/>
      <c r="G589" s="58"/>
      <c r="H589" s="58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8"/>
      <c r="U589" s="58"/>
      <c r="V589" s="58"/>
      <c r="W589" s="58"/>
      <c r="X589" s="58"/>
      <c r="Y589" s="58"/>
      <c r="Z589" s="58"/>
    </row>
    <row r="590" spans="1:26">
      <c r="A590" s="58"/>
      <c r="B590" s="58"/>
      <c r="C590" s="58"/>
      <c r="D590" s="58"/>
      <c r="E590" s="58"/>
      <c r="F590" s="58"/>
      <c r="G590" s="58"/>
      <c r="H590" s="58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8"/>
      <c r="U590" s="58"/>
      <c r="V590" s="58"/>
      <c r="W590" s="58"/>
      <c r="X590" s="58"/>
      <c r="Y590" s="58"/>
      <c r="Z590" s="58"/>
    </row>
    <row r="591" spans="1:26">
      <c r="A591" s="58"/>
      <c r="B591" s="58"/>
      <c r="C591" s="58"/>
      <c r="D591" s="58"/>
      <c r="E591" s="58"/>
      <c r="F591" s="58"/>
      <c r="G591" s="58"/>
      <c r="H591" s="58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8"/>
      <c r="U591" s="58"/>
      <c r="V591" s="58"/>
      <c r="W591" s="58"/>
      <c r="X591" s="58"/>
      <c r="Y591" s="58"/>
      <c r="Z591" s="58"/>
    </row>
    <row r="592" spans="1:26">
      <c r="A592" s="58"/>
      <c r="B592" s="58"/>
      <c r="C592" s="58"/>
      <c r="D592" s="58"/>
      <c r="E592" s="58"/>
      <c r="F592" s="58"/>
      <c r="G592" s="58"/>
      <c r="H592" s="58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8"/>
      <c r="U592" s="58"/>
      <c r="V592" s="58"/>
      <c r="W592" s="58"/>
      <c r="X592" s="58"/>
      <c r="Y592" s="58"/>
      <c r="Z592" s="58"/>
    </row>
    <row r="593" spans="1:26">
      <c r="A593" s="58"/>
      <c r="B593" s="58"/>
      <c r="C593" s="58"/>
      <c r="D593" s="58"/>
      <c r="E593" s="58"/>
      <c r="F593" s="58"/>
      <c r="G593" s="58"/>
      <c r="H593" s="58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8"/>
      <c r="U593" s="58"/>
      <c r="V593" s="58"/>
      <c r="W593" s="58"/>
      <c r="X593" s="58"/>
      <c r="Y593" s="58"/>
      <c r="Z593" s="58"/>
    </row>
    <row r="594" spans="1:26">
      <c r="A594" s="58"/>
      <c r="B594" s="58"/>
      <c r="C594" s="58"/>
      <c r="D594" s="58"/>
      <c r="E594" s="58"/>
      <c r="F594" s="58"/>
      <c r="G594" s="58"/>
      <c r="H594" s="58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8"/>
      <c r="U594" s="58"/>
      <c r="V594" s="58"/>
      <c r="W594" s="58"/>
      <c r="X594" s="58"/>
      <c r="Y594" s="58"/>
      <c r="Z594" s="58"/>
    </row>
    <row r="595" spans="1:26">
      <c r="A595" s="58"/>
      <c r="B595" s="58"/>
      <c r="C595" s="58"/>
      <c r="D595" s="58"/>
      <c r="E595" s="58"/>
      <c r="F595" s="58"/>
      <c r="G595" s="58"/>
      <c r="H595" s="58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8"/>
      <c r="U595" s="58"/>
      <c r="V595" s="58"/>
      <c r="W595" s="58"/>
      <c r="X595" s="58"/>
      <c r="Y595" s="58"/>
      <c r="Z595" s="58"/>
    </row>
    <row r="596" spans="1:26">
      <c r="A596" s="58"/>
      <c r="B596" s="58"/>
      <c r="C596" s="58"/>
      <c r="D596" s="58"/>
      <c r="E596" s="58"/>
      <c r="F596" s="58"/>
      <c r="G596" s="58"/>
      <c r="H596" s="58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8"/>
      <c r="U596" s="58"/>
      <c r="V596" s="58"/>
      <c r="W596" s="58"/>
      <c r="X596" s="58"/>
      <c r="Y596" s="58"/>
      <c r="Z596" s="58"/>
    </row>
    <row r="597" spans="1:26">
      <c r="A597" s="58"/>
      <c r="B597" s="58"/>
      <c r="C597" s="58"/>
      <c r="D597" s="58"/>
      <c r="E597" s="58"/>
      <c r="F597" s="58"/>
      <c r="G597" s="58"/>
      <c r="H597" s="58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8"/>
      <c r="U597" s="58"/>
      <c r="V597" s="58"/>
      <c r="W597" s="58"/>
      <c r="X597" s="58"/>
      <c r="Y597" s="58"/>
      <c r="Z597" s="58"/>
    </row>
    <row r="598" spans="1:26">
      <c r="A598" s="58"/>
      <c r="B598" s="58"/>
      <c r="C598" s="58"/>
      <c r="D598" s="58"/>
      <c r="E598" s="58"/>
      <c r="F598" s="58"/>
      <c r="G598" s="58"/>
      <c r="H598" s="58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8"/>
      <c r="U598" s="58"/>
      <c r="V598" s="58"/>
      <c r="W598" s="58"/>
      <c r="X598" s="58"/>
      <c r="Y598" s="58"/>
      <c r="Z598" s="58"/>
    </row>
    <row r="599" spans="1:26">
      <c r="A599" s="58"/>
      <c r="B599" s="58"/>
      <c r="C599" s="58"/>
      <c r="D599" s="58"/>
      <c r="E599" s="58"/>
      <c r="F599" s="58"/>
      <c r="G599" s="58"/>
      <c r="H599" s="58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8"/>
      <c r="U599" s="58"/>
      <c r="V599" s="58"/>
      <c r="W599" s="58"/>
      <c r="X599" s="58"/>
      <c r="Y599" s="58"/>
      <c r="Z599" s="58"/>
    </row>
    <row r="600" spans="1:26">
      <c r="A600" s="58"/>
      <c r="B600" s="58"/>
      <c r="C600" s="58"/>
      <c r="D600" s="58"/>
      <c r="E600" s="58"/>
      <c r="F600" s="58"/>
      <c r="G600" s="58"/>
      <c r="H600" s="58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8"/>
      <c r="U600" s="58"/>
      <c r="V600" s="58"/>
      <c r="W600" s="58"/>
      <c r="X600" s="58"/>
      <c r="Y600" s="58"/>
      <c r="Z600" s="58"/>
    </row>
    <row r="601" spans="1:26">
      <c r="A601" s="58"/>
      <c r="B601" s="58"/>
      <c r="C601" s="58"/>
      <c r="D601" s="58"/>
      <c r="E601" s="58"/>
      <c r="F601" s="58"/>
      <c r="G601" s="58"/>
      <c r="H601" s="58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8"/>
      <c r="U601" s="58"/>
      <c r="V601" s="58"/>
      <c r="W601" s="58"/>
      <c r="X601" s="58"/>
      <c r="Y601" s="58"/>
      <c r="Z601" s="58"/>
    </row>
    <row r="602" spans="1:26">
      <c r="A602" s="58"/>
      <c r="B602" s="58"/>
      <c r="C602" s="58"/>
      <c r="D602" s="58"/>
      <c r="E602" s="58"/>
      <c r="F602" s="58"/>
      <c r="G602" s="58"/>
      <c r="H602" s="58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8"/>
      <c r="U602" s="58"/>
      <c r="V602" s="58"/>
      <c r="W602" s="58"/>
      <c r="X602" s="58"/>
      <c r="Y602" s="58"/>
      <c r="Z602" s="58"/>
    </row>
    <row r="603" spans="1:26">
      <c r="A603" s="58"/>
      <c r="B603" s="58"/>
      <c r="C603" s="58"/>
      <c r="D603" s="58"/>
      <c r="E603" s="58"/>
      <c r="F603" s="58"/>
      <c r="G603" s="58"/>
      <c r="H603" s="58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8"/>
      <c r="U603" s="58"/>
      <c r="V603" s="58"/>
      <c r="W603" s="58"/>
      <c r="X603" s="58"/>
      <c r="Y603" s="58"/>
      <c r="Z603" s="58"/>
    </row>
    <row r="604" spans="1:26">
      <c r="A604" s="58"/>
      <c r="B604" s="58"/>
      <c r="C604" s="58"/>
      <c r="D604" s="58"/>
      <c r="E604" s="58"/>
      <c r="F604" s="58"/>
      <c r="G604" s="58"/>
      <c r="H604" s="58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8"/>
      <c r="U604" s="58"/>
      <c r="V604" s="58"/>
      <c r="W604" s="58"/>
      <c r="X604" s="58"/>
      <c r="Y604" s="58"/>
      <c r="Z604" s="58"/>
    </row>
    <row r="605" spans="1:26">
      <c r="A605" s="58"/>
      <c r="B605" s="58"/>
      <c r="C605" s="58"/>
      <c r="D605" s="58"/>
      <c r="E605" s="58"/>
      <c r="F605" s="58"/>
      <c r="G605" s="58"/>
      <c r="H605" s="58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8"/>
      <c r="U605" s="58"/>
      <c r="V605" s="58"/>
      <c r="W605" s="58"/>
      <c r="X605" s="58"/>
      <c r="Y605" s="58"/>
      <c r="Z605" s="58"/>
    </row>
    <row r="606" spans="1:26">
      <c r="A606" s="58"/>
      <c r="B606" s="58"/>
      <c r="C606" s="58"/>
      <c r="D606" s="58"/>
      <c r="E606" s="58"/>
      <c r="F606" s="58"/>
      <c r="G606" s="58"/>
      <c r="H606" s="58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8"/>
      <c r="U606" s="58"/>
      <c r="V606" s="58"/>
      <c r="W606" s="58"/>
      <c r="X606" s="58"/>
      <c r="Y606" s="58"/>
      <c r="Z606" s="58"/>
    </row>
    <row r="607" spans="1:26">
      <c r="A607" s="58"/>
      <c r="B607" s="58"/>
      <c r="C607" s="58"/>
      <c r="D607" s="58"/>
      <c r="E607" s="58"/>
      <c r="F607" s="58"/>
      <c r="G607" s="58"/>
      <c r="H607" s="58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8"/>
      <c r="U607" s="58"/>
      <c r="V607" s="58"/>
      <c r="W607" s="58"/>
      <c r="X607" s="58"/>
      <c r="Y607" s="58"/>
      <c r="Z607" s="58"/>
    </row>
    <row r="608" spans="1:26">
      <c r="A608" s="58"/>
      <c r="B608" s="58"/>
      <c r="C608" s="58"/>
      <c r="D608" s="58"/>
      <c r="E608" s="58"/>
      <c r="F608" s="58"/>
      <c r="G608" s="58"/>
      <c r="H608" s="58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8"/>
      <c r="U608" s="58"/>
      <c r="V608" s="58"/>
      <c r="W608" s="58"/>
      <c r="X608" s="58"/>
      <c r="Y608" s="58"/>
      <c r="Z608" s="58"/>
    </row>
    <row r="609" spans="1:26">
      <c r="A609" s="58"/>
      <c r="B609" s="58"/>
      <c r="C609" s="58"/>
      <c r="D609" s="58"/>
      <c r="E609" s="58"/>
      <c r="F609" s="58"/>
      <c r="G609" s="58"/>
      <c r="H609" s="58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8"/>
      <c r="U609" s="58"/>
      <c r="V609" s="58"/>
      <c r="W609" s="58"/>
      <c r="X609" s="58"/>
      <c r="Y609" s="58"/>
      <c r="Z609" s="58"/>
    </row>
    <row r="610" spans="1:26">
      <c r="A610" s="58"/>
      <c r="B610" s="58"/>
      <c r="C610" s="58"/>
      <c r="D610" s="58"/>
      <c r="E610" s="58"/>
      <c r="F610" s="58"/>
      <c r="G610" s="58"/>
      <c r="H610" s="58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8"/>
      <c r="U610" s="58"/>
      <c r="V610" s="58"/>
      <c r="W610" s="58"/>
      <c r="X610" s="58"/>
      <c r="Y610" s="58"/>
      <c r="Z610" s="58"/>
    </row>
    <row r="611" spans="1:26">
      <c r="A611" s="58"/>
      <c r="B611" s="58"/>
      <c r="C611" s="58"/>
      <c r="D611" s="58"/>
      <c r="E611" s="58"/>
      <c r="F611" s="58"/>
      <c r="G611" s="58"/>
      <c r="H611" s="58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8"/>
      <c r="U611" s="58"/>
      <c r="V611" s="58"/>
      <c r="W611" s="58"/>
      <c r="X611" s="58"/>
      <c r="Y611" s="58"/>
      <c r="Z611" s="58"/>
    </row>
    <row r="612" spans="1:26">
      <c r="A612" s="58"/>
      <c r="B612" s="58"/>
      <c r="C612" s="58"/>
      <c r="D612" s="58"/>
      <c r="E612" s="58"/>
      <c r="F612" s="58"/>
      <c r="G612" s="58"/>
      <c r="H612" s="58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8"/>
      <c r="U612" s="58"/>
      <c r="V612" s="58"/>
      <c r="W612" s="58"/>
      <c r="X612" s="58"/>
      <c r="Y612" s="58"/>
      <c r="Z612" s="58"/>
    </row>
    <row r="613" spans="1:26">
      <c r="A613" s="58"/>
      <c r="B613" s="58"/>
      <c r="C613" s="58"/>
      <c r="D613" s="58"/>
      <c r="E613" s="58"/>
      <c r="F613" s="58"/>
      <c r="G613" s="58"/>
      <c r="H613" s="58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8"/>
      <c r="U613" s="58"/>
      <c r="V613" s="58"/>
      <c r="W613" s="58"/>
      <c r="X613" s="58"/>
      <c r="Y613" s="58"/>
      <c r="Z613" s="58"/>
    </row>
    <row r="614" spans="1:26">
      <c r="A614" s="58"/>
      <c r="B614" s="58"/>
      <c r="C614" s="58"/>
      <c r="D614" s="58"/>
      <c r="E614" s="58"/>
      <c r="F614" s="58"/>
      <c r="G614" s="58"/>
      <c r="H614" s="58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8"/>
      <c r="U614" s="58"/>
      <c r="V614" s="58"/>
      <c r="W614" s="58"/>
      <c r="X614" s="58"/>
      <c r="Y614" s="58"/>
      <c r="Z614" s="58"/>
    </row>
    <row r="615" spans="1:26">
      <c r="A615" s="58"/>
      <c r="B615" s="58"/>
      <c r="C615" s="58"/>
      <c r="D615" s="58"/>
      <c r="E615" s="58"/>
      <c r="F615" s="58"/>
      <c r="G615" s="58"/>
      <c r="H615" s="58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8"/>
      <c r="U615" s="58"/>
      <c r="V615" s="58"/>
      <c r="W615" s="58"/>
      <c r="X615" s="58"/>
      <c r="Y615" s="58"/>
      <c r="Z615" s="58"/>
    </row>
    <row r="616" spans="1:26">
      <c r="A616" s="58"/>
      <c r="B616" s="58"/>
      <c r="C616" s="58"/>
      <c r="D616" s="58"/>
      <c r="E616" s="58"/>
      <c r="F616" s="58"/>
      <c r="G616" s="58"/>
      <c r="H616" s="58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8"/>
      <c r="U616" s="58"/>
      <c r="V616" s="58"/>
      <c r="W616" s="58"/>
      <c r="X616" s="58"/>
      <c r="Y616" s="58"/>
      <c r="Z616" s="58"/>
    </row>
    <row r="617" spans="1:26">
      <c r="A617" s="58"/>
      <c r="B617" s="58"/>
      <c r="C617" s="58"/>
      <c r="D617" s="58"/>
      <c r="E617" s="58"/>
      <c r="F617" s="58"/>
      <c r="G617" s="58"/>
      <c r="H617" s="58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8"/>
      <c r="U617" s="58"/>
      <c r="V617" s="58"/>
      <c r="W617" s="58"/>
      <c r="X617" s="58"/>
      <c r="Y617" s="58"/>
      <c r="Z617" s="58"/>
    </row>
    <row r="618" spans="1:26">
      <c r="A618" s="58"/>
      <c r="B618" s="58"/>
      <c r="C618" s="58"/>
      <c r="D618" s="58"/>
      <c r="E618" s="58"/>
      <c r="F618" s="58"/>
      <c r="G618" s="58"/>
      <c r="H618" s="58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8"/>
      <c r="U618" s="58"/>
      <c r="V618" s="58"/>
      <c r="W618" s="58"/>
      <c r="X618" s="58"/>
      <c r="Y618" s="58"/>
      <c r="Z618" s="58"/>
    </row>
    <row r="619" spans="1:26">
      <c r="A619" s="58"/>
      <c r="B619" s="58"/>
      <c r="C619" s="58"/>
      <c r="D619" s="58"/>
      <c r="E619" s="58"/>
      <c r="F619" s="58"/>
      <c r="G619" s="58"/>
      <c r="H619" s="58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8"/>
      <c r="U619" s="58"/>
      <c r="V619" s="58"/>
      <c r="W619" s="58"/>
      <c r="X619" s="58"/>
      <c r="Y619" s="58"/>
      <c r="Z619" s="58"/>
    </row>
    <row r="620" spans="1:26">
      <c r="A620" s="58"/>
      <c r="B620" s="58"/>
      <c r="C620" s="58"/>
      <c r="D620" s="58"/>
      <c r="E620" s="58"/>
      <c r="F620" s="58"/>
      <c r="G620" s="58"/>
      <c r="H620" s="58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8"/>
      <c r="U620" s="58"/>
      <c r="V620" s="58"/>
      <c r="W620" s="58"/>
      <c r="X620" s="58"/>
      <c r="Y620" s="58"/>
      <c r="Z620" s="58"/>
    </row>
    <row r="621" spans="1:26">
      <c r="A621" s="58"/>
      <c r="B621" s="58"/>
      <c r="C621" s="58"/>
      <c r="D621" s="58"/>
      <c r="E621" s="58"/>
      <c r="F621" s="58"/>
      <c r="G621" s="58"/>
      <c r="H621" s="58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8"/>
      <c r="U621" s="58"/>
      <c r="V621" s="58"/>
      <c r="W621" s="58"/>
      <c r="X621" s="58"/>
      <c r="Y621" s="58"/>
      <c r="Z621" s="58"/>
    </row>
    <row r="622" spans="1:26">
      <c r="A622" s="58"/>
      <c r="B622" s="58"/>
      <c r="C622" s="58"/>
      <c r="D622" s="58"/>
      <c r="E622" s="58"/>
      <c r="F622" s="58"/>
      <c r="G622" s="58"/>
      <c r="H622" s="58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8"/>
      <c r="U622" s="58"/>
      <c r="V622" s="58"/>
      <c r="W622" s="58"/>
      <c r="X622" s="58"/>
      <c r="Y622" s="58"/>
      <c r="Z622" s="58"/>
    </row>
    <row r="623" spans="1:26">
      <c r="A623" s="58"/>
      <c r="B623" s="58"/>
      <c r="C623" s="58"/>
      <c r="D623" s="58"/>
      <c r="E623" s="58"/>
      <c r="F623" s="58"/>
      <c r="G623" s="58"/>
      <c r="H623" s="58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8"/>
      <c r="U623" s="58"/>
      <c r="V623" s="58"/>
      <c r="W623" s="58"/>
      <c r="X623" s="58"/>
      <c r="Y623" s="58"/>
      <c r="Z623" s="58"/>
    </row>
    <row r="624" spans="1:26">
      <c r="A624" s="58"/>
      <c r="B624" s="58"/>
      <c r="C624" s="58"/>
      <c r="D624" s="58"/>
      <c r="E624" s="58"/>
      <c r="F624" s="58"/>
      <c r="G624" s="58"/>
      <c r="H624" s="58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8"/>
      <c r="U624" s="58"/>
      <c r="V624" s="58"/>
      <c r="W624" s="58"/>
      <c r="X624" s="58"/>
      <c r="Y624" s="58"/>
      <c r="Z624" s="58"/>
    </row>
    <row r="625" spans="1:26">
      <c r="A625" s="58"/>
      <c r="B625" s="58"/>
      <c r="C625" s="58"/>
      <c r="D625" s="58"/>
      <c r="E625" s="58"/>
      <c r="F625" s="58"/>
      <c r="G625" s="58"/>
      <c r="H625" s="58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8"/>
      <c r="U625" s="58"/>
      <c r="V625" s="58"/>
      <c r="W625" s="58"/>
      <c r="X625" s="58"/>
      <c r="Y625" s="58"/>
      <c r="Z625" s="58"/>
    </row>
    <row r="626" spans="1:26">
      <c r="A626" s="58"/>
      <c r="B626" s="58"/>
      <c r="C626" s="58"/>
      <c r="D626" s="58"/>
      <c r="E626" s="58"/>
      <c r="F626" s="58"/>
      <c r="G626" s="58"/>
      <c r="H626" s="58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8"/>
      <c r="U626" s="58"/>
      <c r="V626" s="58"/>
      <c r="W626" s="58"/>
      <c r="X626" s="58"/>
      <c r="Y626" s="58"/>
      <c r="Z626" s="58"/>
    </row>
    <row r="627" spans="1:26">
      <c r="A627" s="58"/>
      <c r="B627" s="58"/>
      <c r="C627" s="58"/>
      <c r="D627" s="58"/>
      <c r="E627" s="58"/>
      <c r="F627" s="58"/>
      <c r="G627" s="58"/>
      <c r="H627" s="58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8"/>
      <c r="U627" s="58"/>
      <c r="V627" s="58"/>
      <c r="W627" s="58"/>
      <c r="X627" s="58"/>
      <c r="Y627" s="58"/>
      <c r="Z627" s="58"/>
    </row>
    <row r="628" spans="1:26">
      <c r="A628" s="58"/>
      <c r="B628" s="58"/>
      <c r="C628" s="58"/>
      <c r="D628" s="58"/>
      <c r="E628" s="58"/>
      <c r="F628" s="58"/>
      <c r="G628" s="58"/>
      <c r="H628" s="58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8"/>
      <c r="U628" s="58"/>
      <c r="V628" s="58"/>
      <c r="W628" s="58"/>
      <c r="X628" s="58"/>
      <c r="Y628" s="58"/>
      <c r="Z628" s="58"/>
    </row>
    <row r="629" spans="1:26">
      <c r="A629" s="58"/>
      <c r="B629" s="58"/>
      <c r="C629" s="58"/>
      <c r="D629" s="58"/>
      <c r="E629" s="58"/>
      <c r="F629" s="58"/>
      <c r="G629" s="58"/>
      <c r="H629" s="58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8"/>
      <c r="U629" s="58"/>
      <c r="V629" s="58"/>
      <c r="W629" s="58"/>
      <c r="X629" s="58"/>
      <c r="Y629" s="58"/>
      <c r="Z629" s="58"/>
    </row>
    <row r="630" spans="1:26">
      <c r="A630" s="58"/>
      <c r="B630" s="58"/>
      <c r="C630" s="58"/>
      <c r="D630" s="58"/>
      <c r="E630" s="58"/>
      <c r="F630" s="58"/>
      <c r="G630" s="58"/>
      <c r="H630" s="58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8"/>
      <c r="U630" s="58"/>
      <c r="V630" s="58"/>
      <c r="W630" s="58"/>
      <c r="X630" s="58"/>
      <c r="Y630" s="58"/>
      <c r="Z630" s="58"/>
    </row>
    <row r="631" spans="1:26">
      <c r="A631" s="58"/>
      <c r="B631" s="58"/>
      <c r="C631" s="58"/>
      <c r="D631" s="58"/>
      <c r="E631" s="58"/>
      <c r="F631" s="58"/>
      <c r="G631" s="58"/>
      <c r="H631" s="58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8"/>
      <c r="U631" s="58"/>
      <c r="V631" s="58"/>
      <c r="W631" s="58"/>
      <c r="X631" s="58"/>
      <c r="Y631" s="58"/>
      <c r="Z631" s="58"/>
    </row>
    <row r="632" spans="1:26">
      <c r="A632" s="58"/>
      <c r="B632" s="58"/>
      <c r="C632" s="58"/>
      <c r="D632" s="58"/>
      <c r="E632" s="58"/>
      <c r="F632" s="58"/>
      <c r="G632" s="58"/>
      <c r="H632" s="58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8"/>
      <c r="U632" s="58"/>
      <c r="V632" s="58"/>
      <c r="W632" s="58"/>
      <c r="X632" s="58"/>
      <c r="Y632" s="58"/>
      <c r="Z632" s="58"/>
    </row>
    <row r="633" spans="1:26">
      <c r="A633" s="58"/>
      <c r="B633" s="58"/>
      <c r="C633" s="58"/>
      <c r="D633" s="58"/>
      <c r="E633" s="58"/>
      <c r="F633" s="58"/>
      <c r="G633" s="58"/>
      <c r="H633" s="58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8"/>
      <c r="U633" s="58"/>
      <c r="V633" s="58"/>
      <c r="W633" s="58"/>
      <c r="X633" s="58"/>
      <c r="Y633" s="58"/>
      <c r="Z633" s="58"/>
    </row>
    <row r="634" spans="1:26">
      <c r="A634" s="58"/>
      <c r="B634" s="58"/>
      <c r="C634" s="58"/>
      <c r="D634" s="58"/>
      <c r="E634" s="58"/>
      <c r="F634" s="58"/>
      <c r="G634" s="58"/>
      <c r="H634" s="58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8"/>
      <c r="U634" s="58"/>
      <c r="V634" s="58"/>
      <c r="W634" s="58"/>
      <c r="X634" s="58"/>
      <c r="Y634" s="58"/>
      <c r="Z634" s="58"/>
    </row>
    <row r="635" spans="1:26">
      <c r="A635" s="58"/>
      <c r="B635" s="58"/>
      <c r="C635" s="58"/>
      <c r="D635" s="58"/>
      <c r="E635" s="58"/>
      <c r="F635" s="58"/>
      <c r="G635" s="58"/>
      <c r="H635" s="58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8"/>
      <c r="U635" s="58"/>
      <c r="V635" s="58"/>
      <c r="W635" s="58"/>
      <c r="X635" s="58"/>
      <c r="Y635" s="58"/>
      <c r="Z635" s="58"/>
    </row>
    <row r="636" spans="1:26">
      <c r="A636" s="58"/>
      <c r="B636" s="58"/>
      <c r="C636" s="58"/>
      <c r="D636" s="58"/>
      <c r="E636" s="58"/>
      <c r="F636" s="58"/>
      <c r="G636" s="58"/>
      <c r="H636" s="58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8"/>
      <c r="U636" s="58"/>
      <c r="V636" s="58"/>
      <c r="W636" s="58"/>
      <c r="X636" s="58"/>
      <c r="Y636" s="58"/>
      <c r="Z636" s="58"/>
    </row>
    <row r="637" spans="1:26">
      <c r="A637" s="58"/>
      <c r="B637" s="58"/>
      <c r="C637" s="58"/>
      <c r="D637" s="58"/>
      <c r="E637" s="58"/>
      <c r="F637" s="58"/>
      <c r="G637" s="58"/>
      <c r="H637" s="58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8"/>
      <c r="U637" s="58"/>
      <c r="V637" s="58"/>
      <c r="W637" s="58"/>
      <c r="X637" s="58"/>
      <c r="Y637" s="58"/>
      <c r="Z637" s="58"/>
    </row>
    <row r="638" spans="1:26">
      <c r="A638" s="58"/>
      <c r="B638" s="58"/>
      <c r="C638" s="58"/>
      <c r="D638" s="58"/>
      <c r="E638" s="58"/>
      <c r="F638" s="58"/>
      <c r="G638" s="58"/>
      <c r="H638" s="58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8"/>
      <c r="U638" s="58"/>
      <c r="V638" s="58"/>
      <c r="W638" s="58"/>
      <c r="X638" s="58"/>
      <c r="Y638" s="58"/>
      <c r="Z638" s="58"/>
    </row>
    <row r="639" spans="1:26">
      <c r="A639" s="58"/>
      <c r="B639" s="58"/>
      <c r="C639" s="58"/>
      <c r="D639" s="58"/>
      <c r="E639" s="58"/>
      <c r="F639" s="58"/>
      <c r="G639" s="58"/>
      <c r="H639" s="58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8"/>
      <c r="U639" s="58"/>
      <c r="V639" s="58"/>
      <c r="W639" s="58"/>
      <c r="X639" s="58"/>
      <c r="Y639" s="58"/>
      <c r="Z639" s="58"/>
    </row>
    <row r="640" spans="1:26">
      <c r="A640" s="58"/>
      <c r="B640" s="58"/>
      <c r="C640" s="58"/>
      <c r="D640" s="58"/>
      <c r="E640" s="58"/>
      <c r="F640" s="58"/>
      <c r="G640" s="58"/>
      <c r="H640" s="58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8"/>
      <c r="U640" s="58"/>
      <c r="V640" s="58"/>
      <c r="W640" s="58"/>
      <c r="X640" s="58"/>
      <c r="Y640" s="58"/>
      <c r="Z640" s="58"/>
    </row>
    <row r="641" spans="1:26">
      <c r="A641" s="58"/>
      <c r="B641" s="58"/>
      <c r="C641" s="58"/>
      <c r="D641" s="58"/>
      <c r="E641" s="58"/>
      <c r="F641" s="58"/>
      <c r="G641" s="58"/>
      <c r="H641" s="58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8"/>
      <c r="U641" s="58"/>
      <c r="V641" s="58"/>
      <c r="W641" s="58"/>
      <c r="X641" s="58"/>
      <c r="Y641" s="58"/>
      <c r="Z641" s="58"/>
    </row>
    <row r="642" spans="1:26">
      <c r="A642" s="58"/>
      <c r="B642" s="58"/>
      <c r="C642" s="58"/>
      <c r="D642" s="58"/>
      <c r="E642" s="58"/>
      <c r="F642" s="58"/>
      <c r="G642" s="58"/>
      <c r="H642" s="58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8"/>
      <c r="U642" s="58"/>
      <c r="V642" s="58"/>
      <c r="W642" s="58"/>
      <c r="X642" s="58"/>
      <c r="Y642" s="58"/>
      <c r="Z642" s="58"/>
    </row>
    <row r="643" spans="1:26">
      <c r="A643" s="58"/>
      <c r="B643" s="58"/>
      <c r="C643" s="58"/>
      <c r="D643" s="58"/>
      <c r="E643" s="58"/>
      <c r="F643" s="58"/>
      <c r="G643" s="58"/>
      <c r="H643" s="58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8"/>
      <c r="U643" s="58"/>
      <c r="V643" s="58"/>
      <c r="W643" s="58"/>
      <c r="X643" s="58"/>
      <c r="Y643" s="58"/>
      <c r="Z643" s="58"/>
    </row>
    <row r="644" spans="1:26">
      <c r="A644" s="58"/>
      <c r="B644" s="58"/>
      <c r="C644" s="58"/>
      <c r="D644" s="58"/>
      <c r="E644" s="58"/>
      <c r="F644" s="58"/>
      <c r="G644" s="58"/>
      <c r="H644" s="58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8"/>
      <c r="U644" s="58"/>
      <c r="V644" s="58"/>
      <c r="W644" s="58"/>
      <c r="X644" s="58"/>
      <c r="Y644" s="58"/>
      <c r="Z644" s="58"/>
    </row>
    <row r="645" spans="1:26">
      <c r="A645" s="58"/>
      <c r="B645" s="58"/>
      <c r="C645" s="58"/>
      <c r="D645" s="58"/>
      <c r="E645" s="58"/>
      <c r="F645" s="58"/>
      <c r="G645" s="58"/>
      <c r="H645" s="58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8"/>
      <c r="U645" s="58"/>
      <c r="V645" s="58"/>
      <c r="W645" s="58"/>
      <c r="X645" s="58"/>
      <c r="Y645" s="58"/>
      <c r="Z645" s="58"/>
    </row>
    <row r="646" spans="1:26">
      <c r="A646" s="58"/>
      <c r="B646" s="58"/>
      <c r="C646" s="58"/>
      <c r="D646" s="58"/>
      <c r="E646" s="58"/>
      <c r="F646" s="58"/>
      <c r="G646" s="58"/>
      <c r="H646" s="58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8"/>
      <c r="U646" s="58"/>
      <c r="V646" s="58"/>
      <c r="W646" s="58"/>
      <c r="X646" s="58"/>
      <c r="Y646" s="58"/>
      <c r="Z646" s="58"/>
    </row>
    <row r="647" spans="1:26">
      <c r="A647" s="58"/>
      <c r="B647" s="58"/>
      <c r="C647" s="58"/>
      <c r="D647" s="58"/>
      <c r="E647" s="58"/>
      <c r="F647" s="58"/>
      <c r="G647" s="58"/>
      <c r="H647" s="58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8"/>
      <c r="U647" s="58"/>
      <c r="V647" s="58"/>
      <c r="W647" s="58"/>
      <c r="X647" s="58"/>
      <c r="Y647" s="58"/>
      <c r="Z647" s="58"/>
    </row>
    <row r="648" spans="1:26">
      <c r="A648" s="58"/>
      <c r="B648" s="58"/>
      <c r="C648" s="58"/>
      <c r="D648" s="58"/>
      <c r="E648" s="58"/>
      <c r="F648" s="58"/>
      <c r="G648" s="58"/>
      <c r="H648" s="58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8"/>
      <c r="U648" s="58"/>
      <c r="V648" s="58"/>
      <c r="W648" s="58"/>
      <c r="X648" s="58"/>
      <c r="Y648" s="58"/>
      <c r="Z648" s="58"/>
    </row>
    <row r="649" spans="1:26">
      <c r="A649" s="58"/>
      <c r="B649" s="58"/>
      <c r="C649" s="58"/>
      <c r="D649" s="58"/>
      <c r="E649" s="58"/>
      <c r="F649" s="58"/>
      <c r="G649" s="58"/>
      <c r="H649" s="58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8"/>
      <c r="U649" s="58"/>
      <c r="V649" s="58"/>
      <c r="W649" s="58"/>
      <c r="X649" s="58"/>
      <c r="Y649" s="58"/>
      <c r="Z649" s="58"/>
    </row>
    <row r="650" spans="1:26">
      <c r="A650" s="58"/>
      <c r="B650" s="58"/>
      <c r="C650" s="58"/>
      <c r="D650" s="58"/>
      <c r="E650" s="58"/>
      <c r="F650" s="58"/>
      <c r="G650" s="58"/>
      <c r="H650" s="58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8"/>
      <c r="U650" s="58"/>
      <c r="V650" s="58"/>
      <c r="W650" s="58"/>
      <c r="X650" s="58"/>
      <c r="Y650" s="58"/>
      <c r="Z650" s="58"/>
    </row>
    <row r="651" spans="1:26">
      <c r="A651" s="58"/>
      <c r="B651" s="58"/>
      <c r="C651" s="58"/>
      <c r="D651" s="58"/>
      <c r="E651" s="58"/>
      <c r="F651" s="58"/>
      <c r="G651" s="58"/>
      <c r="H651" s="58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8"/>
      <c r="U651" s="58"/>
      <c r="V651" s="58"/>
      <c r="W651" s="58"/>
      <c r="X651" s="58"/>
      <c r="Y651" s="58"/>
      <c r="Z651" s="58"/>
    </row>
    <row r="652" spans="1:26">
      <c r="A652" s="58"/>
      <c r="B652" s="58"/>
      <c r="C652" s="58"/>
      <c r="D652" s="58"/>
      <c r="E652" s="58"/>
      <c r="F652" s="58"/>
      <c r="G652" s="58"/>
      <c r="H652" s="58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8"/>
      <c r="U652" s="58"/>
      <c r="V652" s="58"/>
      <c r="W652" s="58"/>
      <c r="X652" s="58"/>
      <c r="Y652" s="58"/>
      <c r="Z652" s="58"/>
    </row>
    <row r="653" spans="1:26">
      <c r="A653" s="58"/>
      <c r="B653" s="58"/>
      <c r="C653" s="58"/>
      <c r="D653" s="58"/>
      <c r="E653" s="58"/>
      <c r="F653" s="58"/>
      <c r="G653" s="58"/>
      <c r="H653" s="58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8"/>
      <c r="U653" s="58"/>
      <c r="V653" s="58"/>
      <c r="W653" s="58"/>
      <c r="X653" s="58"/>
      <c r="Y653" s="58"/>
      <c r="Z653" s="58"/>
    </row>
    <row r="654" spans="1:26">
      <c r="A654" s="58"/>
      <c r="B654" s="58"/>
      <c r="C654" s="58"/>
      <c r="D654" s="58"/>
      <c r="E654" s="58"/>
      <c r="F654" s="58"/>
      <c r="G654" s="58"/>
      <c r="H654" s="58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8"/>
      <c r="U654" s="58"/>
      <c r="V654" s="58"/>
      <c r="W654" s="58"/>
      <c r="X654" s="58"/>
      <c r="Y654" s="58"/>
      <c r="Z654" s="58"/>
    </row>
    <row r="655" spans="1:26">
      <c r="A655" s="58"/>
      <c r="B655" s="58"/>
      <c r="C655" s="58"/>
      <c r="D655" s="58"/>
      <c r="E655" s="58"/>
      <c r="F655" s="58"/>
      <c r="G655" s="58"/>
      <c r="H655" s="58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8"/>
      <c r="U655" s="58"/>
      <c r="V655" s="58"/>
      <c r="W655" s="58"/>
      <c r="X655" s="58"/>
      <c r="Y655" s="58"/>
      <c r="Z655" s="58"/>
    </row>
    <row r="656" spans="1:26">
      <c r="A656" s="58"/>
      <c r="B656" s="58"/>
      <c r="C656" s="58"/>
      <c r="D656" s="58"/>
      <c r="E656" s="58"/>
      <c r="F656" s="58"/>
      <c r="G656" s="58"/>
      <c r="H656" s="58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8"/>
      <c r="U656" s="58"/>
      <c r="V656" s="58"/>
      <c r="W656" s="58"/>
      <c r="X656" s="58"/>
      <c r="Y656" s="58"/>
      <c r="Z656" s="58"/>
    </row>
    <row r="657" spans="1:26">
      <c r="A657" s="58"/>
      <c r="B657" s="58"/>
      <c r="C657" s="58"/>
      <c r="D657" s="58"/>
      <c r="E657" s="58"/>
      <c r="F657" s="58"/>
      <c r="G657" s="58"/>
      <c r="H657" s="58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8"/>
      <c r="U657" s="58"/>
      <c r="V657" s="58"/>
      <c r="W657" s="58"/>
      <c r="X657" s="58"/>
      <c r="Y657" s="58"/>
      <c r="Z657" s="58"/>
    </row>
    <row r="658" spans="1:26">
      <c r="A658" s="58"/>
      <c r="B658" s="58"/>
      <c r="C658" s="58"/>
      <c r="D658" s="58"/>
      <c r="E658" s="58"/>
      <c r="F658" s="58"/>
      <c r="G658" s="58"/>
      <c r="H658" s="58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8"/>
      <c r="U658" s="58"/>
      <c r="V658" s="58"/>
      <c r="W658" s="58"/>
      <c r="X658" s="58"/>
      <c r="Y658" s="58"/>
      <c r="Z658" s="58"/>
    </row>
    <row r="659" spans="1:26">
      <c r="A659" s="58"/>
      <c r="B659" s="58"/>
      <c r="C659" s="58"/>
      <c r="D659" s="58"/>
      <c r="E659" s="58"/>
      <c r="F659" s="58"/>
      <c r="G659" s="58"/>
      <c r="H659" s="58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8"/>
      <c r="U659" s="58"/>
      <c r="V659" s="58"/>
      <c r="W659" s="58"/>
      <c r="X659" s="58"/>
      <c r="Y659" s="58"/>
      <c r="Z659" s="58"/>
    </row>
    <row r="660" spans="1:26">
      <c r="A660" s="58"/>
      <c r="B660" s="58"/>
      <c r="C660" s="58"/>
      <c r="D660" s="58"/>
      <c r="E660" s="58"/>
      <c r="F660" s="58"/>
      <c r="G660" s="58"/>
      <c r="H660" s="58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8"/>
      <c r="U660" s="58"/>
      <c r="V660" s="58"/>
      <c r="W660" s="58"/>
      <c r="X660" s="58"/>
      <c r="Y660" s="58"/>
      <c r="Z660" s="58"/>
    </row>
    <row r="661" spans="1:26">
      <c r="A661" s="58"/>
      <c r="B661" s="58"/>
      <c r="C661" s="58"/>
      <c r="D661" s="58"/>
      <c r="E661" s="58"/>
      <c r="F661" s="58"/>
      <c r="G661" s="58"/>
      <c r="H661" s="58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8"/>
      <c r="U661" s="58"/>
      <c r="V661" s="58"/>
      <c r="W661" s="58"/>
      <c r="X661" s="58"/>
      <c r="Y661" s="58"/>
      <c r="Z661" s="58"/>
    </row>
    <row r="662" spans="1:26">
      <c r="A662" s="58"/>
      <c r="B662" s="58"/>
      <c r="C662" s="58"/>
      <c r="D662" s="58"/>
      <c r="E662" s="58"/>
      <c r="F662" s="58"/>
      <c r="G662" s="58"/>
      <c r="H662" s="58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8"/>
      <c r="U662" s="58"/>
      <c r="V662" s="58"/>
      <c r="W662" s="58"/>
      <c r="X662" s="58"/>
      <c r="Y662" s="58"/>
      <c r="Z662" s="58"/>
    </row>
    <row r="663" spans="1:26">
      <c r="A663" s="58"/>
      <c r="B663" s="58"/>
      <c r="C663" s="58"/>
      <c r="D663" s="58"/>
      <c r="E663" s="58"/>
      <c r="F663" s="58"/>
      <c r="G663" s="58"/>
      <c r="H663" s="58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8"/>
      <c r="U663" s="58"/>
      <c r="V663" s="58"/>
      <c r="W663" s="58"/>
      <c r="X663" s="58"/>
      <c r="Y663" s="58"/>
      <c r="Z663" s="58"/>
    </row>
    <row r="664" spans="1:26">
      <c r="A664" s="58"/>
      <c r="B664" s="58"/>
      <c r="C664" s="58"/>
      <c r="D664" s="58"/>
      <c r="E664" s="58"/>
      <c r="F664" s="58"/>
      <c r="G664" s="58"/>
      <c r="H664" s="58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8"/>
      <c r="U664" s="58"/>
      <c r="V664" s="58"/>
      <c r="W664" s="58"/>
      <c r="X664" s="58"/>
      <c r="Y664" s="58"/>
      <c r="Z664" s="58"/>
    </row>
    <row r="665" spans="1:26">
      <c r="A665" s="58"/>
      <c r="B665" s="58"/>
      <c r="C665" s="58"/>
      <c r="D665" s="58"/>
      <c r="E665" s="58"/>
      <c r="F665" s="58"/>
      <c r="G665" s="58"/>
      <c r="H665" s="58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8"/>
      <c r="U665" s="58"/>
      <c r="V665" s="58"/>
      <c r="W665" s="58"/>
      <c r="X665" s="58"/>
      <c r="Y665" s="58"/>
      <c r="Z665" s="58"/>
    </row>
    <row r="666" spans="1:26">
      <c r="A666" s="58"/>
      <c r="B666" s="58"/>
      <c r="C666" s="58"/>
      <c r="D666" s="58"/>
      <c r="E666" s="58"/>
      <c r="F666" s="58"/>
      <c r="G666" s="58"/>
      <c r="H666" s="58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8"/>
      <c r="U666" s="58"/>
      <c r="V666" s="58"/>
      <c r="W666" s="58"/>
      <c r="X666" s="58"/>
      <c r="Y666" s="58"/>
      <c r="Z666" s="58"/>
    </row>
    <row r="667" spans="1:26">
      <c r="A667" s="58"/>
      <c r="B667" s="58"/>
      <c r="C667" s="58"/>
      <c r="D667" s="58"/>
      <c r="E667" s="58"/>
      <c r="F667" s="58"/>
      <c r="G667" s="58"/>
      <c r="H667" s="58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8"/>
      <c r="U667" s="58"/>
      <c r="V667" s="58"/>
      <c r="W667" s="58"/>
      <c r="X667" s="58"/>
      <c r="Y667" s="58"/>
      <c r="Z667" s="58"/>
    </row>
    <row r="668" spans="1:26">
      <c r="A668" s="58"/>
      <c r="B668" s="58"/>
      <c r="C668" s="58"/>
      <c r="D668" s="58"/>
      <c r="E668" s="58"/>
      <c r="F668" s="58"/>
      <c r="G668" s="58"/>
      <c r="H668" s="58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8"/>
      <c r="U668" s="58"/>
      <c r="V668" s="58"/>
      <c r="W668" s="58"/>
      <c r="X668" s="58"/>
      <c r="Y668" s="58"/>
      <c r="Z668" s="58"/>
    </row>
    <row r="669" spans="1:26">
      <c r="A669" s="58"/>
      <c r="B669" s="58"/>
      <c r="C669" s="58"/>
      <c r="D669" s="58"/>
      <c r="E669" s="58"/>
      <c r="F669" s="58"/>
      <c r="G669" s="58"/>
      <c r="H669" s="58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8"/>
      <c r="U669" s="58"/>
      <c r="V669" s="58"/>
      <c r="W669" s="58"/>
      <c r="X669" s="58"/>
      <c r="Y669" s="58"/>
      <c r="Z669" s="58"/>
    </row>
    <row r="670" spans="1:26">
      <c r="A670" s="58"/>
      <c r="B670" s="58"/>
      <c r="C670" s="58"/>
      <c r="D670" s="58"/>
      <c r="E670" s="58"/>
      <c r="F670" s="58"/>
      <c r="G670" s="58"/>
      <c r="H670" s="58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8"/>
      <c r="U670" s="58"/>
      <c r="V670" s="58"/>
      <c r="W670" s="58"/>
      <c r="X670" s="58"/>
      <c r="Y670" s="58"/>
      <c r="Z670" s="58"/>
    </row>
    <row r="671" spans="1:26">
      <c r="A671" s="58"/>
      <c r="B671" s="58"/>
      <c r="C671" s="58"/>
      <c r="D671" s="58"/>
      <c r="E671" s="58"/>
      <c r="F671" s="58"/>
      <c r="G671" s="58"/>
      <c r="H671" s="58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8"/>
      <c r="U671" s="58"/>
      <c r="V671" s="58"/>
      <c r="W671" s="58"/>
      <c r="X671" s="58"/>
      <c r="Y671" s="58"/>
      <c r="Z671" s="58"/>
    </row>
    <row r="672" spans="1:26">
      <c r="A672" s="58"/>
      <c r="B672" s="58"/>
      <c r="C672" s="58"/>
      <c r="D672" s="58"/>
      <c r="E672" s="58"/>
      <c r="F672" s="58"/>
      <c r="G672" s="58"/>
      <c r="H672" s="58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8"/>
      <c r="U672" s="58"/>
      <c r="V672" s="58"/>
      <c r="W672" s="58"/>
      <c r="X672" s="58"/>
      <c r="Y672" s="58"/>
      <c r="Z672" s="58"/>
    </row>
    <row r="673" spans="1:26">
      <c r="A673" s="58"/>
      <c r="B673" s="58"/>
      <c r="C673" s="58"/>
      <c r="D673" s="58"/>
      <c r="E673" s="58"/>
      <c r="F673" s="58"/>
      <c r="G673" s="58"/>
      <c r="H673" s="58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8"/>
      <c r="U673" s="58"/>
      <c r="V673" s="58"/>
      <c r="W673" s="58"/>
      <c r="X673" s="58"/>
      <c r="Y673" s="58"/>
      <c r="Z673" s="58"/>
    </row>
    <row r="674" spans="1:26">
      <c r="A674" s="58"/>
      <c r="B674" s="58"/>
      <c r="C674" s="58"/>
      <c r="D674" s="58"/>
      <c r="E674" s="58"/>
      <c r="F674" s="58"/>
      <c r="G674" s="58"/>
      <c r="H674" s="58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8"/>
      <c r="U674" s="58"/>
      <c r="V674" s="58"/>
      <c r="W674" s="58"/>
      <c r="X674" s="58"/>
      <c r="Y674" s="58"/>
      <c r="Z674" s="58"/>
    </row>
    <row r="675" spans="1:26">
      <c r="A675" s="58"/>
      <c r="B675" s="58"/>
      <c r="C675" s="58"/>
      <c r="D675" s="58"/>
      <c r="E675" s="58"/>
      <c r="F675" s="58"/>
      <c r="G675" s="58"/>
      <c r="H675" s="58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8"/>
      <c r="U675" s="58"/>
      <c r="V675" s="58"/>
      <c r="W675" s="58"/>
      <c r="X675" s="58"/>
      <c r="Y675" s="58"/>
      <c r="Z675" s="58"/>
    </row>
    <row r="676" spans="1:26">
      <c r="A676" s="58"/>
      <c r="B676" s="58"/>
      <c r="C676" s="58"/>
      <c r="D676" s="58"/>
      <c r="E676" s="58"/>
      <c r="F676" s="58"/>
      <c r="G676" s="58"/>
      <c r="H676" s="58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8"/>
      <c r="U676" s="58"/>
      <c r="V676" s="58"/>
      <c r="W676" s="58"/>
      <c r="X676" s="58"/>
      <c r="Y676" s="58"/>
      <c r="Z676" s="58"/>
    </row>
    <row r="677" spans="1:26">
      <c r="A677" s="58"/>
      <c r="B677" s="58"/>
      <c r="C677" s="58"/>
      <c r="D677" s="58"/>
      <c r="E677" s="58"/>
      <c r="F677" s="58"/>
      <c r="G677" s="58"/>
      <c r="H677" s="58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8"/>
      <c r="U677" s="58"/>
      <c r="V677" s="58"/>
      <c r="W677" s="58"/>
      <c r="X677" s="58"/>
      <c r="Y677" s="58"/>
      <c r="Z677" s="58"/>
    </row>
    <row r="678" spans="1:26">
      <c r="A678" s="58"/>
      <c r="B678" s="58"/>
      <c r="C678" s="58"/>
      <c r="D678" s="58"/>
      <c r="E678" s="58"/>
      <c r="F678" s="58"/>
      <c r="G678" s="58"/>
      <c r="H678" s="58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8"/>
      <c r="U678" s="58"/>
      <c r="V678" s="58"/>
      <c r="W678" s="58"/>
      <c r="X678" s="58"/>
      <c r="Y678" s="58"/>
      <c r="Z678" s="58"/>
    </row>
    <row r="679" spans="1:26">
      <c r="A679" s="58"/>
      <c r="B679" s="58"/>
      <c r="C679" s="58"/>
      <c r="D679" s="58"/>
      <c r="E679" s="58"/>
      <c r="F679" s="58"/>
      <c r="G679" s="58"/>
      <c r="H679" s="58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8"/>
      <c r="U679" s="58"/>
      <c r="V679" s="58"/>
      <c r="W679" s="58"/>
      <c r="X679" s="58"/>
      <c r="Y679" s="58"/>
      <c r="Z679" s="58"/>
    </row>
    <row r="680" spans="1:26">
      <c r="A680" s="58"/>
      <c r="B680" s="58"/>
      <c r="C680" s="58"/>
      <c r="D680" s="58"/>
      <c r="E680" s="58"/>
      <c r="F680" s="58"/>
      <c r="G680" s="58"/>
      <c r="H680" s="58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8"/>
      <c r="U680" s="58"/>
      <c r="V680" s="58"/>
      <c r="W680" s="58"/>
      <c r="X680" s="58"/>
      <c r="Y680" s="58"/>
      <c r="Z680" s="58"/>
    </row>
    <row r="681" spans="1:26">
      <c r="A681" s="58"/>
      <c r="B681" s="58"/>
      <c r="C681" s="58"/>
      <c r="D681" s="58"/>
      <c r="E681" s="58"/>
      <c r="F681" s="58"/>
      <c r="G681" s="58"/>
      <c r="H681" s="58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8"/>
      <c r="U681" s="58"/>
      <c r="V681" s="58"/>
      <c r="W681" s="58"/>
      <c r="X681" s="58"/>
      <c r="Y681" s="58"/>
      <c r="Z681" s="58"/>
    </row>
    <row r="682" spans="1:26">
      <c r="A682" s="58"/>
      <c r="B682" s="58"/>
      <c r="C682" s="58"/>
      <c r="D682" s="58"/>
      <c r="E682" s="58"/>
      <c r="F682" s="58"/>
      <c r="G682" s="58"/>
      <c r="H682" s="58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8"/>
      <c r="U682" s="58"/>
      <c r="V682" s="58"/>
      <c r="W682" s="58"/>
      <c r="X682" s="58"/>
      <c r="Y682" s="58"/>
      <c r="Z682" s="58"/>
    </row>
    <row r="683" spans="1:26">
      <c r="A683" s="58"/>
      <c r="B683" s="58"/>
      <c r="C683" s="58"/>
      <c r="D683" s="58"/>
      <c r="E683" s="58"/>
      <c r="F683" s="58"/>
      <c r="G683" s="58"/>
      <c r="H683" s="58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8"/>
      <c r="U683" s="58"/>
      <c r="V683" s="58"/>
      <c r="W683" s="58"/>
      <c r="X683" s="58"/>
      <c r="Y683" s="58"/>
      <c r="Z683" s="58"/>
    </row>
    <row r="684" spans="1:26">
      <c r="A684" s="58"/>
      <c r="B684" s="58"/>
      <c r="C684" s="58"/>
      <c r="D684" s="58"/>
      <c r="E684" s="58"/>
      <c r="F684" s="58"/>
      <c r="G684" s="58"/>
      <c r="H684" s="58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8"/>
      <c r="U684" s="58"/>
      <c r="V684" s="58"/>
      <c r="W684" s="58"/>
      <c r="X684" s="58"/>
      <c r="Y684" s="58"/>
      <c r="Z684" s="58"/>
    </row>
    <row r="685" spans="1:26">
      <c r="A685" s="58"/>
      <c r="B685" s="58"/>
      <c r="C685" s="58"/>
      <c r="D685" s="58"/>
      <c r="E685" s="58"/>
      <c r="F685" s="58"/>
      <c r="G685" s="58"/>
      <c r="H685" s="58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8"/>
      <c r="U685" s="58"/>
      <c r="V685" s="58"/>
      <c r="W685" s="58"/>
      <c r="X685" s="58"/>
      <c r="Y685" s="58"/>
      <c r="Z685" s="58"/>
    </row>
    <row r="686" spans="1:26">
      <c r="A686" s="58"/>
      <c r="B686" s="58"/>
      <c r="C686" s="58"/>
      <c r="D686" s="58"/>
      <c r="E686" s="58"/>
      <c r="F686" s="58"/>
      <c r="G686" s="58"/>
      <c r="H686" s="58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8"/>
      <c r="U686" s="58"/>
      <c r="V686" s="58"/>
      <c r="W686" s="58"/>
      <c r="X686" s="58"/>
      <c r="Y686" s="58"/>
      <c r="Z686" s="58"/>
    </row>
    <row r="687" spans="1:26">
      <c r="A687" s="58"/>
      <c r="B687" s="58"/>
      <c r="C687" s="58"/>
      <c r="D687" s="58"/>
      <c r="E687" s="58"/>
      <c r="F687" s="58"/>
      <c r="G687" s="58"/>
      <c r="H687" s="58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8"/>
      <c r="U687" s="58"/>
      <c r="V687" s="58"/>
      <c r="W687" s="58"/>
      <c r="X687" s="58"/>
      <c r="Y687" s="58"/>
      <c r="Z687" s="58"/>
    </row>
    <row r="688" spans="1:26">
      <c r="A688" s="58"/>
      <c r="B688" s="58"/>
      <c r="C688" s="58"/>
      <c r="D688" s="58"/>
      <c r="E688" s="58"/>
      <c r="F688" s="58"/>
      <c r="G688" s="58"/>
      <c r="H688" s="58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8"/>
      <c r="U688" s="58"/>
      <c r="V688" s="58"/>
      <c r="W688" s="58"/>
      <c r="X688" s="58"/>
      <c r="Y688" s="58"/>
      <c r="Z688" s="58"/>
    </row>
    <row r="689" spans="1:26">
      <c r="A689" s="58"/>
      <c r="B689" s="58"/>
      <c r="C689" s="58"/>
      <c r="D689" s="58"/>
      <c r="E689" s="58"/>
      <c r="F689" s="58"/>
      <c r="G689" s="58"/>
      <c r="H689" s="58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8"/>
      <c r="U689" s="58"/>
      <c r="V689" s="58"/>
      <c r="W689" s="58"/>
      <c r="X689" s="58"/>
      <c r="Y689" s="58"/>
      <c r="Z689" s="58"/>
    </row>
    <row r="690" spans="1:26">
      <c r="A690" s="58"/>
      <c r="B690" s="58"/>
      <c r="C690" s="58"/>
      <c r="D690" s="58"/>
      <c r="E690" s="58"/>
      <c r="F690" s="58"/>
      <c r="G690" s="58"/>
      <c r="H690" s="58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8"/>
      <c r="U690" s="58"/>
      <c r="V690" s="58"/>
      <c r="W690" s="58"/>
      <c r="X690" s="58"/>
      <c r="Y690" s="58"/>
      <c r="Z690" s="58"/>
    </row>
    <row r="691" spans="1:26">
      <c r="A691" s="58"/>
      <c r="B691" s="58"/>
      <c r="C691" s="58"/>
      <c r="D691" s="58"/>
      <c r="E691" s="58"/>
      <c r="F691" s="58"/>
      <c r="G691" s="58"/>
      <c r="H691" s="58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8"/>
      <c r="U691" s="58"/>
      <c r="V691" s="58"/>
      <c r="W691" s="58"/>
      <c r="X691" s="58"/>
      <c r="Y691" s="58"/>
      <c r="Z691" s="58"/>
    </row>
    <row r="692" spans="1:26">
      <c r="A692" s="58"/>
      <c r="B692" s="58"/>
      <c r="C692" s="58"/>
      <c r="D692" s="58"/>
      <c r="E692" s="58"/>
      <c r="F692" s="58"/>
      <c r="G692" s="58"/>
      <c r="H692" s="58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8"/>
      <c r="U692" s="58"/>
      <c r="V692" s="58"/>
      <c r="W692" s="58"/>
      <c r="X692" s="58"/>
      <c r="Y692" s="58"/>
      <c r="Z692" s="58"/>
    </row>
    <row r="693" spans="1:26">
      <c r="A693" s="58"/>
      <c r="B693" s="58"/>
      <c r="C693" s="58"/>
      <c r="D693" s="58"/>
      <c r="E693" s="58"/>
      <c r="F693" s="58"/>
      <c r="G693" s="58"/>
      <c r="H693" s="58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8"/>
      <c r="U693" s="58"/>
      <c r="V693" s="58"/>
      <c r="W693" s="58"/>
      <c r="X693" s="58"/>
      <c r="Y693" s="58"/>
      <c r="Z693" s="58"/>
    </row>
    <row r="694" spans="1:26">
      <c r="A694" s="58"/>
      <c r="B694" s="58"/>
      <c r="C694" s="58"/>
      <c r="D694" s="58"/>
      <c r="E694" s="58"/>
      <c r="F694" s="58"/>
      <c r="G694" s="58"/>
      <c r="H694" s="58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8"/>
      <c r="U694" s="58"/>
      <c r="V694" s="58"/>
      <c r="W694" s="58"/>
      <c r="X694" s="58"/>
      <c r="Y694" s="58"/>
      <c r="Z694" s="58"/>
    </row>
    <row r="695" spans="1:26">
      <c r="A695" s="58"/>
      <c r="B695" s="58"/>
      <c r="C695" s="58"/>
      <c r="D695" s="58"/>
      <c r="E695" s="58"/>
      <c r="F695" s="58"/>
      <c r="G695" s="58"/>
      <c r="H695" s="58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8"/>
      <c r="U695" s="58"/>
      <c r="V695" s="58"/>
      <c r="W695" s="58"/>
      <c r="X695" s="58"/>
      <c r="Y695" s="58"/>
      <c r="Z695" s="58"/>
    </row>
    <row r="696" spans="1:26">
      <c r="A696" s="58"/>
      <c r="B696" s="58"/>
      <c r="C696" s="58"/>
      <c r="D696" s="58"/>
      <c r="E696" s="58"/>
      <c r="F696" s="58"/>
      <c r="G696" s="58"/>
      <c r="H696" s="58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8"/>
      <c r="U696" s="58"/>
      <c r="V696" s="58"/>
      <c r="W696" s="58"/>
      <c r="X696" s="58"/>
      <c r="Y696" s="58"/>
      <c r="Z696" s="58"/>
    </row>
    <row r="697" spans="1:26">
      <c r="A697" s="58"/>
      <c r="B697" s="58"/>
      <c r="C697" s="58"/>
      <c r="D697" s="58"/>
      <c r="E697" s="58"/>
      <c r="F697" s="58"/>
      <c r="G697" s="58"/>
      <c r="H697" s="58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8"/>
      <c r="U697" s="58"/>
      <c r="V697" s="58"/>
      <c r="W697" s="58"/>
      <c r="X697" s="58"/>
      <c r="Y697" s="58"/>
      <c r="Z697" s="58"/>
    </row>
    <row r="698" spans="1:26">
      <c r="A698" s="58"/>
      <c r="B698" s="58"/>
      <c r="C698" s="58"/>
      <c r="D698" s="58"/>
      <c r="E698" s="58"/>
      <c r="F698" s="58"/>
      <c r="G698" s="58"/>
      <c r="H698" s="58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8"/>
      <c r="U698" s="58"/>
      <c r="V698" s="58"/>
      <c r="W698" s="58"/>
      <c r="X698" s="58"/>
      <c r="Y698" s="58"/>
      <c r="Z698" s="58"/>
    </row>
    <row r="699" spans="1:26">
      <c r="A699" s="58"/>
      <c r="B699" s="58"/>
      <c r="C699" s="58"/>
      <c r="D699" s="58"/>
      <c r="E699" s="58"/>
      <c r="F699" s="58"/>
      <c r="G699" s="58"/>
      <c r="H699" s="58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8"/>
      <c r="U699" s="58"/>
      <c r="V699" s="58"/>
      <c r="W699" s="58"/>
      <c r="X699" s="58"/>
      <c r="Y699" s="58"/>
      <c r="Z699" s="58"/>
    </row>
    <row r="700" spans="1:26">
      <c r="A700" s="58"/>
      <c r="B700" s="58"/>
      <c r="C700" s="58"/>
      <c r="D700" s="58"/>
      <c r="E700" s="58"/>
      <c r="F700" s="58"/>
      <c r="G700" s="58"/>
      <c r="H700" s="58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8"/>
      <c r="U700" s="58"/>
      <c r="V700" s="58"/>
      <c r="W700" s="58"/>
      <c r="X700" s="58"/>
      <c r="Y700" s="58"/>
      <c r="Z700" s="58"/>
    </row>
    <row r="701" spans="1:26">
      <c r="A701" s="58"/>
      <c r="B701" s="58"/>
      <c r="C701" s="58"/>
      <c r="D701" s="58"/>
      <c r="E701" s="58"/>
      <c r="F701" s="58"/>
      <c r="G701" s="58"/>
      <c r="H701" s="58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8"/>
      <c r="U701" s="58"/>
      <c r="V701" s="58"/>
      <c r="W701" s="58"/>
      <c r="X701" s="58"/>
      <c r="Y701" s="58"/>
      <c r="Z701" s="58"/>
    </row>
    <row r="702" spans="1:26">
      <c r="A702" s="58"/>
      <c r="B702" s="58"/>
      <c r="C702" s="58"/>
      <c r="D702" s="58"/>
      <c r="E702" s="58"/>
      <c r="F702" s="58"/>
      <c r="G702" s="58"/>
      <c r="H702" s="58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8"/>
      <c r="U702" s="58"/>
      <c r="V702" s="58"/>
      <c r="W702" s="58"/>
      <c r="X702" s="58"/>
      <c r="Y702" s="58"/>
      <c r="Z702" s="58"/>
    </row>
    <row r="703" spans="1:26">
      <c r="A703" s="58"/>
      <c r="B703" s="58"/>
      <c r="C703" s="58"/>
      <c r="D703" s="58"/>
      <c r="E703" s="58"/>
      <c r="F703" s="58"/>
      <c r="G703" s="58"/>
      <c r="H703" s="58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8"/>
      <c r="U703" s="58"/>
      <c r="V703" s="58"/>
      <c r="W703" s="58"/>
      <c r="X703" s="58"/>
      <c r="Y703" s="58"/>
      <c r="Z703" s="58"/>
    </row>
    <row r="704" spans="1:26">
      <c r="A704" s="58"/>
      <c r="B704" s="58"/>
      <c r="C704" s="58"/>
      <c r="D704" s="58"/>
      <c r="E704" s="58"/>
      <c r="F704" s="58"/>
      <c r="G704" s="58"/>
      <c r="H704" s="58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8"/>
      <c r="U704" s="58"/>
      <c r="V704" s="58"/>
      <c r="W704" s="58"/>
      <c r="X704" s="58"/>
      <c r="Y704" s="58"/>
      <c r="Z704" s="58"/>
    </row>
    <row r="705" spans="1:26">
      <c r="A705" s="58"/>
      <c r="B705" s="58"/>
      <c r="C705" s="58"/>
      <c r="D705" s="58"/>
      <c r="E705" s="58"/>
      <c r="F705" s="58"/>
      <c r="G705" s="58"/>
      <c r="H705" s="58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8"/>
      <c r="U705" s="58"/>
      <c r="V705" s="58"/>
      <c r="W705" s="58"/>
      <c r="X705" s="58"/>
      <c r="Y705" s="58"/>
      <c r="Z705" s="58"/>
    </row>
    <row r="706" spans="1:26">
      <c r="A706" s="58"/>
      <c r="B706" s="58"/>
      <c r="C706" s="58"/>
      <c r="D706" s="58"/>
      <c r="E706" s="58"/>
      <c r="F706" s="58"/>
      <c r="G706" s="58"/>
      <c r="H706" s="58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8"/>
      <c r="U706" s="58"/>
      <c r="V706" s="58"/>
      <c r="W706" s="58"/>
      <c r="X706" s="58"/>
      <c r="Y706" s="58"/>
      <c r="Z706" s="58"/>
    </row>
    <row r="707" spans="1:26">
      <c r="A707" s="58"/>
      <c r="B707" s="58"/>
      <c r="C707" s="58"/>
      <c r="D707" s="58"/>
      <c r="E707" s="58"/>
      <c r="F707" s="58"/>
      <c r="G707" s="58"/>
      <c r="H707" s="58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8"/>
      <c r="U707" s="58"/>
      <c r="V707" s="58"/>
      <c r="W707" s="58"/>
      <c r="X707" s="58"/>
      <c r="Y707" s="58"/>
      <c r="Z707" s="58"/>
    </row>
    <row r="708" spans="1:26">
      <c r="A708" s="58"/>
      <c r="B708" s="58"/>
      <c r="C708" s="58"/>
      <c r="D708" s="58"/>
      <c r="E708" s="58"/>
      <c r="F708" s="58"/>
      <c r="G708" s="58"/>
      <c r="H708" s="58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8"/>
      <c r="U708" s="58"/>
      <c r="V708" s="58"/>
      <c r="W708" s="58"/>
      <c r="X708" s="58"/>
      <c r="Y708" s="58"/>
      <c r="Z708" s="58"/>
    </row>
    <row r="709" spans="1:26">
      <c r="A709" s="58"/>
      <c r="B709" s="58"/>
      <c r="C709" s="58"/>
      <c r="D709" s="58"/>
      <c r="E709" s="58"/>
      <c r="F709" s="58"/>
      <c r="G709" s="58"/>
      <c r="H709" s="58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8"/>
      <c r="U709" s="58"/>
      <c r="V709" s="58"/>
      <c r="W709" s="58"/>
      <c r="X709" s="58"/>
      <c r="Y709" s="58"/>
      <c r="Z709" s="58"/>
    </row>
    <row r="710" spans="1:26">
      <c r="A710" s="58"/>
      <c r="B710" s="58"/>
      <c r="C710" s="58"/>
      <c r="D710" s="58"/>
      <c r="E710" s="58"/>
      <c r="F710" s="58"/>
      <c r="G710" s="58"/>
      <c r="H710" s="58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8"/>
      <c r="U710" s="58"/>
      <c r="V710" s="58"/>
      <c r="W710" s="58"/>
      <c r="X710" s="58"/>
      <c r="Y710" s="58"/>
      <c r="Z710" s="58"/>
    </row>
    <row r="711" spans="1:26">
      <c r="A711" s="58"/>
      <c r="B711" s="58"/>
      <c r="C711" s="58"/>
      <c r="D711" s="58"/>
      <c r="E711" s="58"/>
      <c r="F711" s="58"/>
      <c r="G711" s="58"/>
      <c r="H711" s="58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8"/>
      <c r="U711" s="58"/>
      <c r="V711" s="58"/>
      <c r="W711" s="58"/>
      <c r="X711" s="58"/>
      <c r="Y711" s="58"/>
      <c r="Z711" s="58"/>
    </row>
    <row r="712" spans="1:26">
      <c r="A712" s="58"/>
      <c r="B712" s="58"/>
      <c r="C712" s="58"/>
      <c r="D712" s="58"/>
      <c r="E712" s="58"/>
      <c r="F712" s="58"/>
      <c r="G712" s="58"/>
      <c r="H712" s="58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8"/>
      <c r="U712" s="58"/>
      <c r="V712" s="58"/>
      <c r="W712" s="58"/>
      <c r="X712" s="58"/>
      <c r="Y712" s="58"/>
      <c r="Z712" s="58"/>
    </row>
    <row r="713" spans="1:26">
      <c r="A713" s="58"/>
      <c r="B713" s="58"/>
      <c r="C713" s="58"/>
      <c r="D713" s="58"/>
      <c r="E713" s="58"/>
      <c r="F713" s="58"/>
      <c r="G713" s="58"/>
      <c r="H713" s="58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8"/>
      <c r="U713" s="58"/>
      <c r="V713" s="58"/>
      <c r="W713" s="58"/>
      <c r="X713" s="58"/>
      <c r="Y713" s="58"/>
      <c r="Z713" s="58"/>
    </row>
    <row r="714" spans="1:26">
      <c r="A714" s="58"/>
      <c r="B714" s="58"/>
      <c r="C714" s="58"/>
      <c r="D714" s="58"/>
      <c r="E714" s="58"/>
      <c r="F714" s="58"/>
      <c r="G714" s="58"/>
      <c r="H714" s="58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8"/>
      <c r="U714" s="58"/>
      <c r="V714" s="58"/>
      <c r="W714" s="58"/>
      <c r="X714" s="58"/>
      <c r="Y714" s="58"/>
      <c r="Z714" s="58"/>
    </row>
    <row r="715" spans="1:26">
      <c r="A715" s="58"/>
      <c r="B715" s="58"/>
      <c r="C715" s="58"/>
      <c r="D715" s="58"/>
      <c r="E715" s="58"/>
      <c r="F715" s="58"/>
      <c r="G715" s="58"/>
      <c r="H715" s="58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8"/>
      <c r="U715" s="58"/>
      <c r="V715" s="58"/>
      <c r="W715" s="58"/>
      <c r="X715" s="58"/>
      <c r="Y715" s="58"/>
      <c r="Z715" s="58"/>
    </row>
    <row r="716" spans="1:26">
      <c r="A716" s="58"/>
      <c r="B716" s="58"/>
      <c r="C716" s="58"/>
      <c r="D716" s="58"/>
      <c r="E716" s="58"/>
      <c r="F716" s="58"/>
      <c r="G716" s="58"/>
      <c r="H716" s="58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8"/>
      <c r="U716" s="58"/>
      <c r="V716" s="58"/>
      <c r="W716" s="58"/>
      <c r="X716" s="58"/>
      <c r="Y716" s="58"/>
      <c r="Z716" s="58"/>
    </row>
    <row r="717" spans="1:26">
      <c r="A717" s="58"/>
      <c r="B717" s="58"/>
      <c r="C717" s="58"/>
      <c r="D717" s="58"/>
      <c r="E717" s="58"/>
      <c r="F717" s="58"/>
      <c r="G717" s="58"/>
      <c r="H717" s="58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8"/>
      <c r="U717" s="58"/>
      <c r="V717" s="58"/>
      <c r="W717" s="58"/>
      <c r="X717" s="58"/>
      <c r="Y717" s="58"/>
      <c r="Z717" s="58"/>
    </row>
    <row r="718" spans="1:26">
      <c r="A718" s="58"/>
      <c r="B718" s="58"/>
      <c r="C718" s="58"/>
      <c r="D718" s="58"/>
      <c r="E718" s="58"/>
      <c r="F718" s="58"/>
      <c r="G718" s="58"/>
      <c r="H718" s="58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8"/>
      <c r="U718" s="58"/>
      <c r="V718" s="58"/>
      <c r="W718" s="58"/>
      <c r="X718" s="58"/>
      <c r="Y718" s="58"/>
      <c r="Z718" s="58"/>
    </row>
    <row r="719" spans="1:26">
      <c r="A719" s="58"/>
      <c r="B719" s="58"/>
      <c r="C719" s="58"/>
      <c r="D719" s="58"/>
      <c r="E719" s="58"/>
      <c r="F719" s="58"/>
      <c r="G719" s="58"/>
      <c r="H719" s="58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8"/>
      <c r="U719" s="58"/>
      <c r="V719" s="58"/>
      <c r="W719" s="58"/>
      <c r="X719" s="58"/>
      <c r="Y719" s="58"/>
      <c r="Z719" s="58"/>
    </row>
    <row r="720" spans="1:26">
      <c r="A720" s="58"/>
      <c r="B720" s="58"/>
      <c r="C720" s="58"/>
      <c r="D720" s="58"/>
      <c r="E720" s="58"/>
      <c r="F720" s="58"/>
      <c r="G720" s="58"/>
      <c r="H720" s="58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8"/>
      <c r="U720" s="58"/>
      <c r="V720" s="58"/>
      <c r="W720" s="58"/>
      <c r="X720" s="58"/>
      <c r="Y720" s="58"/>
      <c r="Z720" s="58"/>
    </row>
    <row r="721" spans="1:26">
      <c r="A721" s="58"/>
      <c r="B721" s="58"/>
      <c r="C721" s="58"/>
      <c r="D721" s="58"/>
      <c r="E721" s="58"/>
      <c r="F721" s="58"/>
      <c r="G721" s="58"/>
      <c r="H721" s="58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8"/>
      <c r="U721" s="58"/>
      <c r="V721" s="58"/>
      <c r="W721" s="58"/>
      <c r="X721" s="58"/>
      <c r="Y721" s="58"/>
      <c r="Z721" s="58"/>
    </row>
    <row r="722" spans="1:26">
      <c r="A722" s="58"/>
      <c r="B722" s="58"/>
      <c r="C722" s="58"/>
      <c r="D722" s="58"/>
      <c r="E722" s="58"/>
      <c r="F722" s="58"/>
      <c r="G722" s="58"/>
      <c r="H722" s="58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8"/>
      <c r="U722" s="58"/>
      <c r="V722" s="58"/>
      <c r="W722" s="58"/>
      <c r="X722" s="58"/>
      <c r="Y722" s="58"/>
      <c r="Z722" s="58"/>
    </row>
    <row r="723" spans="1:26">
      <c r="A723" s="58"/>
      <c r="B723" s="58"/>
      <c r="C723" s="58"/>
      <c r="D723" s="58"/>
      <c r="E723" s="58"/>
      <c r="F723" s="58"/>
      <c r="G723" s="58"/>
      <c r="H723" s="58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8"/>
      <c r="U723" s="58"/>
      <c r="V723" s="58"/>
      <c r="W723" s="58"/>
      <c r="X723" s="58"/>
      <c r="Y723" s="58"/>
      <c r="Z723" s="58"/>
    </row>
    <row r="724" spans="1:26">
      <c r="A724" s="58"/>
      <c r="B724" s="58"/>
      <c r="C724" s="58"/>
      <c r="D724" s="58"/>
      <c r="E724" s="58"/>
      <c r="F724" s="58"/>
      <c r="G724" s="58"/>
      <c r="H724" s="58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8"/>
      <c r="U724" s="58"/>
      <c r="V724" s="58"/>
      <c r="W724" s="58"/>
      <c r="X724" s="58"/>
      <c r="Y724" s="58"/>
      <c r="Z724" s="58"/>
    </row>
    <row r="725" spans="1:26">
      <c r="A725" s="58"/>
      <c r="B725" s="58"/>
      <c r="C725" s="58"/>
      <c r="D725" s="58"/>
      <c r="E725" s="58"/>
      <c r="F725" s="58"/>
      <c r="G725" s="58"/>
      <c r="H725" s="58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8"/>
      <c r="U725" s="58"/>
      <c r="V725" s="58"/>
      <c r="W725" s="58"/>
      <c r="X725" s="58"/>
      <c r="Y725" s="58"/>
      <c r="Z725" s="58"/>
    </row>
    <row r="726" spans="1:26">
      <c r="A726" s="58"/>
      <c r="B726" s="58"/>
      <c r="C726" s="58"/>
      <c r="D726" s="58"/>
      <c r="E726" s="58"/>
      <c r="F726" s="58"/>
      <c r="G726" s="58"/>
      <c r="H726" s="58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8"/>
      <c r="U726" s="58"/>
      <c r="V726" s="58"/>
      <c r="W726" s="58"/>
      <c r="X726" s="58"/>
      <c r="Y726" s="58"/>
      <c r="Z726" s="58"/>
    </row>
    <row r="727" spans="1:26">
      <c r="A727" s="58"/>
      <c r="B727" s="58"/>
      <c r="C727" s="58"/>
      <c r="D727" s="58"/>
      <c r="E727" s="58"/>
      <c r="F727" s="58"/>
      <c r="G727" s="58"/>
      <c r="H727" s="58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8"/>
      <c r="U727" s="58"/>
      <c r="V727" s="58"/>
      <c r="W727" s="58"/>
      <c r="X727" s="58"/>
      <c r="Y727" s="58"/>
      <c r="Z727" s="58"/>
    </row>
    <row r="728" spans="1:26">
      <c r="A728" s="58"/>
      <c r="B728" s="58"/>
      <c r="C728" s="58"/>
      <c r="D728" s="58"/>
      <c r="E728" s="58"/>
      <c r="F728" s="58"/>
      <c r="G728" s="58"/>
      <c r="H728" s="58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8"/>
      <c r="U728" s="58"/>
      <c r="V728" s="58"/>
      <c r="W728" s="58"/>
      <c r="X728" s="58"/>
      <c r="Y728" s="58"/>
      <c r="Z728" s="58"/>
    </row>
    <row r="729" spans="1:26">
      <c r="A729" s="58"/>
      <c r="B729" s="58"/>
      <c r="C729" s="58"/>
      <c r="D729" s="58"/>
      <c r="E729" s="58"/>
      <c r="F729" s="58"/>
      <c r="G729" s="58"/>
      <c r="H729" s="58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8"/>
      <c r="U729" s="58"/>
      <c r="V729" s="58"/>
      <c r="W729" s="58"/>
      <c r="X729" s="58"/>
      <c r="Y729" s="58"/>
      <c r="Z729" s="58"/>
    </row>
    <row r="730" spans="1:26">
      <c r="A730" s="58"/>
      <c r="B730" s="58"/>
      <c r="C730" s="58"/>
      <c r="D730" s="58"/>
      <c r="E730" s="58"/>
      <c r="F730" s="58"/>
      <c r="G730" s="58"/>
      <c r="H730" s="58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8"/>
      <c r="U730" s="58"/>
      <c r="V730" s="58"/>
      <c r="W730" s="58"/>
      <c r="X730" s="58"/>
      <c r="Y730" s="58"/>
      <c r="Z730" s="58"/>
    </row>
    <row r="731" spans="1:26">
      <c r="A731" s="58"/>
      <c r="B731" s="58"/>
      <c r="C731" s="58"/>
      <c r="D731" s="58"/>
      <c r="E731" s="58"/>
      <c r="F731" s="58"/>
      <c r="G731" s="58"/>
      <c r="H731" s="58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8"/>
      <c r="U731" s="58"/>
      <c r="V731" s="58"/>
      <c r="W731" s="58"/>
      <c r="X731" s="58"/>
      <c r="Y731" s="58"/>
      <c r="Z731" s="58"/>
    </row>
    <row r="732" spans="1:26">
      <c r="A732" s="58"/>
      <c r="B732" s="58"/>
      <c r="C732" s="58"/>
      <c r="D732" s="58"/>
      <c r="E732" s="58"/>
      <c r="F732" s="58"/>
      <c r="G732" s="58"/>
      <c r="H732" s="58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8"/>
      <c r="U732" s="58"/>
      <c r="V732" s="58"/>
      <c r="W732" s="58"/>
      <c r="X732" s="58"/>
      <c r="Y732" s="58"/>
      <c r="Z732" s="58"/>
    </row>
    <row r="733" spans="1:26">
      <c r="A733" s="58"/>
      <c r="B733" s="58"/>
      <c r="C733" s="58"/>
      <c r="D733" s="58"/>
      <c r="E733" s="58"/>
      <c r="F733" s="58"/>
      <c r="G733" s="58"/>
      <c r="H733" s="58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8"/>
      <c r="U733" s="58"/>
      <c r="V733" s="58"/>
      <c r="W733" s="58"/>
      <c r="X733" s="58"/>
      <c r="Y733" s="58"/>
      <c r="Z733" s="58"/>
    </row>
    <row r="734" spans="1:26">
      <c r="A734" s="58"/>
      <c r="B734" s="58"/>
      <c r="C734" s="58"/>
      <c r="D734" s="58"/>
      <c r="E734" s="58"/>
      <c r="F734" s="58"/>
      <c r="G734" s="58"/>
      <c r="H734" s="58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8"/>
      <c r="U734" s="58"/>
      <c r="V734" s="58"/>
      <c r="W734" s="58"/>
      <c r="X734" s="58"/>
      <c r="Y734" s="58"/>
      <c r="Z734" s="58"/>
    </row>
    <row r="735" spans="1:26">
      <c r="A735" s="58"/>
      <c r="B735" s="58"/>
      <c r="C735" s="58"/>
      <c r="D735" s="58"/>
      <c r="E735" s="58"/>
      <c r="F735" s="58"/>
      <c r="G735" s="58"/>
      <c r="H735" s="58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8"/>
      <c r="U735" s="58"/>
      <c r="V735" s="58"/>
      <c r="W735" s="58"/>
      <c r="X735" s="58"/>
      <c r="Y735" s="58"/>
      <c r="Z735" s="58"/>
    </row>
    <row r="736" spans="1:26">
      <c r="A736" s="58"/>
      <c r="B736" s="58"/>
      <c r="C736" s="58"/>
      <c r="D736" s="58"/>
      <c r="E736" s="58"/>
      <c r="F736" s="58"/>
      <c r="G736" s="58"/>
      <c r="H736" s="58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8"/>
      <c r="U736" s="58"/>
      <c r="V736" s="58"/>
      <c r="W736" s="58"/>
      <c r="X736" s="58"/>
      <c r="Y736" s="58"/>
      <c r="Z736" s="58"/>
    </row>
    <row r="737" spans="1:26">
      <c r="A737" s="58"/>
      <c r="B737" s="58"/>
      <c r="C737" s="58"/>
      <c r="D737" s="58"/>
      <c r="E737" s="58"/>
      <c r="F737" s="58"/>
      <c r="G737" s="58"/>
      <c r="H737" s="58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8"/>
      <c r="U737" s="58"/>
      <c r="V737" s="58"/>
      <c r="W737" s="58"/>
      <c r="X737" s="58"/>
      <c r="Y737" s="58"/>
      <c r="Z737" s="58"/>
    </row>
    <row r="738" spans="1:26">
      <c r="A738" s="58"/>
      <c r="B738" s="58"/>
      <c r="C738" s="58"/>
      <c r="D738" s="58"/>
      <c r="E738" s="58"/>
      <c r="F738" s="58"/>
      <c r="G738" s="58"/>
      <c r="H738" s="58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8"/>
      <c r="U738" s="58"/>
      <c r="V738" s="58"/>
      <c r="W738" s="58"/>
      <c r="X738" s="58"/>
      <c r="Y738" s="58"/>
      <c r="Z738" s="58"/>
    </row>
    <row r="739" spans="1:26">
      <c r="A739" s="58"/>
      <c r="B739" s="58"/>
      <c r="C739" s="58"/>
      <c r="D739" s="58"/>
      <c r="E739" s="58"/>
      <c r="F739" s="58"/>
      <c r="G739" s="58"/>
      <c r="H739" s="58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8"/>
      <c r="U739" s="58"/>
      <c r="V739" s="58"/>
      <c r="W739" s="58"/>
      <c r="X739" s="58"/>
      <c r="Y739" s="58"/>
      <c r="Z739" s="58"/>
    </row>
    <row r="740" spans="1:26">
      <c r="A740" s="58"/>
      <c r="B740" s="58"/>
      <c r="C740" s="58"/>
      <c r="D740" s="58"/>
      <c r="E740" s="58"/>
      <c r="F740" s="58"/>
      <c r="G740" s="58"/>
      <c r="H740" s="58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8"/>
      <c r="U740" s="58"/>
      <c r="V740" s="58"/>
      <c r="W740" s="58"/>
      <c r="X740" s="58"/>
      <c r="Y740" s="58"/>
      <c r="Z740" s="58"/>
    </row>
    <row r="741" spans="1:26">
      <c r="A741" s="58"/>
      <c r="B741" s="58"/>
      <c r="C741" s="58"/>
      <c r="D741" s="58"/>
      <c r="E741" s="58"/>
      <c r="F741" s="58"/>
      <c r="G741" s="58"/>
      <c r="H741" s="58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8"/>
      <c r="U741" s="58"/>
      <c r="V741" s="58"/>
      <c r="W741" s="58"/>
      <c r="X741" s="58"/>
      <c r="Y741" s="58"/>
      <c r="Z741" s="58"/>
    </row>
    <row r="742" spans="1:26">
      <c r="A742" s="58"/>
      <c r="B742" s="58"/>
      <c r="C742" s="58"/>
      <c r="D742" s="58"/>
      <c r="E742" s="58"/>
      <c r="F742" s="58"/>
      <c r="G742" s="58"/>
      <c r="H742" s="58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8"/>
      <c r="U742" s="58"/>
      <c r="V742" s="58"/>
      <c r="W742" s="58"/>
      <c r="X742" s="58"/>
      <c r="Y742" s="58"/>
      <c r="Z742" s="58"/>
    </row>
    <row r="743" spans="1:26">
      <c r="A743" s="58"/>
      <c r="B743" s="58"/>
      <c r="C743" s="58"/>
      <c r="D743" s="58"/>
      <c r="E743" s="58"/>
      <c r="F743" s="58"/>
      <c r="G743" s="58"/>
      <c r="H743" s="58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8"/>
      <c r="U743" s="58"/>
      <c r="V743" s="58"/>
      <c r="W743" s="58"/>
      <c r="X743" s="58"/>
      <c r="Y743" s="58"/>
      <c r="Z743" s="58"/>
    </row>
    <row r="744" spans="1:26">
      <c r="A744" s="58"/>
      <c r="B744" s="58"/>
      <c r="C744" s="58"/>
      <c r="D744" s="58"/>
      <c r="E744" s="58"/>
      <c r="F744" s="58"/>
      <c r="G744" s="58"/>
      <c r="H744" s="58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8"/>
      <c r="U744" s="58"/>
      <c r="V744" s="58"/>
      <c r="W744" s="58"/>
      <c r="X744" s="58"/>
      <c r="Y744" s="58"/>
      <c r="Z744" s="58"/>
    </row>
    <row r="745" spans="1:26">
      <c r="A745" s="58"/>
      <c r="B745" s="58"/>
      <c r="C745" s="58"/>
      <c r="D745" s="58"/>
      <c r="E745" s="58"/>
      <c r="F745" s="58"/>
      <c r="G745" s="58"/>
      <c r="H745" s="58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8"/>
      <c r="U745" s="58"/>
      <c r="V745" s="58"/>
      <c r="W745" s="58"/>
      <c r="X745" s="58"/>
      <c r="Y745" s="58"/>
      <c r="Z745" s="58"/>
    </row>
    <row r="746" spans="1:26">
      <c r="A746" s="58"/>
      <c r="B746" s="58"/>
      <c r="C746" s="58"/>
      <c r="D746" s="58"/>
      <c r="E746" s="58"/>
      <c r="F746" s="58"/>
      <c r="G746" s="58"/>
      <c r="H746" s="58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8"/>
      <c r="U746" s="58"/>
      <c r="V746" s="58"/>
      <c r="W746" s="58"/>
      <c r="X746" s="58"/>
      <c r="Y746" s="58"/>
      <c r="Z746" s="58"/>
    </row>
    <row r="747" spans="1:26">
      <c r="A747" s="58"/>
      <c r="B747" s="58"/>
      <c r="C747" s="58"/>
      <c r="D747" s="58"/>
      <c r="E747" s="58"/>
      <c r="F747" s="58"/>
      <c r="G747" s="58"/>
      <c r="H747" s="58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8"/>
      <c r="U747" s="58"/>
      <c r="V747" s="58"/>
      <c r="W747" s="58"/>
      <c r="X747" s="58"/>
      <c r="Y747" s="58"/>
      <c r="Z747" s="58"/>
    </row>
    <row r="748" spans="1:26">
      <c r="A748" s="58"/>
      <c r="B748" s="58"/>
      <c r="C748" s="58"/>
      <c r="D748" s="58"/>
      <c r="E748" s="58"/>
      <c r="F748" s="58"/>
      <c r="G748" s="58"/>
      <c r="H748" s="58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8"/>
      <c r="U748" s="58"/>
      <c r="V748" s="58"/>
      <c r="W748" s="58"/>
      <c r="X748" s="58"/>
      <c r="Y748" s="58"/>
      <c r="Z748" s="58"/>
    </row>
    <row r="749" spans="1:26">
      <c r="A749" s="58"/>
      <c r="B749" s="58"/>
      <c r="C749" s="58"/>
      <c r="D749" s="58"/>
      <c r="E749" s="58"/>
      <c r="F749" s="58"/>
      <c r="G749" s="58"/>
      <c r="H749" s="58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8"/>
      <c r="U749" s="58"/>
      <c r="V749" s="58"/>
      <c r="W749" s="58"/>
      <c r="X749" s="58"/>
      <c r="Y749" s="58"/>
      <c r="Z749" s="58"/>
    </row>
    <row r="750" spans="1:26">
      <c r="A750" s="58"/>
      <c r="B750" s="58"/>
      <c r="C750" s="58"/>
      <c r="D750" s="58"/>
      <c r="E750" s="58"/>
      <c r="F750" s="58"/>
      <c r="G750" s="58"/>
      <c r="H750" s="58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8"/>
      <c r="U750" s="58"/>
      <c r="V750" s="58"/>
      <c r="W750" s="58"/>
      <c r="X750" s="58"/>
      <c r="Y750" s="58"/>
      <c r="Z750" s="58"/>
    </row>
    <row r="751" spans="1:26">
      <c r="A751" s="58"/>
      <c r="B751" s="58"/>
      <c r="C751" s="58"/>
      <c r="D751" s="58"/>
      <c r="E751" s="58"/>
      <c r="F751" s="58"/>
      <c r="G751" s="58"/>
      <c r="H751" s="58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8"/>
      <c r="U751" s="58"/>
      <c r="V751" s="58"/>
      <c r="W751" s="58"/>
      <c r="X751" s="58"/>
      <c r="Y751" s="58"/>
      <c r="Z751" s="58"/>
    </row>
    <row r="752" spans="1:26">
      <c r="A752" s="58"/>
      <c r="B752" s="58"/>
      <c r="C752" s="58"/>
      <c r="D752" s="58"/>
      <c r="E752" s="58"/>
      <c r="F752" s="58"/>
      <c r="G752" s="58"/>
      <c r="H752" s="58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8"/>
      <c r="U752" s="58"/>
      <c r="V752" s="58"/>
      <c r="W752" s="58"/>
      <c r="X752" s="58"/>
      <c r="Y752" s="58"/>
      <c r="Z752" s="58"/>
    </row>
    <row r="753" spans="1:26">
      <c r="A753" s="58"/>
      <c r="B753" s="58"/>
      <c r="C753" s="58"/>
      <c r="D753" s="58"/>
      <c r="E753" s="58"/>
      <c r="F753" s="58"/>
      <c r="G753" s="58"/>
      <c r="H753" s="58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8"/>
      <c r="U753" s="58"/>
      <c r="V753" s="58"/>
      <c r="W753" s="58"/>
      <c r="X753" s="58"/>
      <c r="Y753" s="58"/>
      <c r="Z753" s="58"/>
    </row>
    <row r="754" spans="1:26">
      <c r="A754" s="58"/>
      <c r="B754" s="58"/>
      <c r="C754" s="58"/>
      <c r="D754" s="58"/>
      <c r="E754" s="58"/>
      <c r="F754" s="58"/>
      <c r="G754" s="58"/>
      <c r="H754" s="58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8"/>
      <c r="U754" s="58"/>
      <c r="V754" s="58"/>
      <c r="W754" s="58"/>
      <c r="X754" s="58"/>
      <c r="Y754" s="58"/>
      <c r="Z754" s="58"/>
    </row>
    <row r="755" spans="1:26">
      <c r="A755" s="58"/>
      <c r="B755" s="58"/>
      <c r="C755" s="58"/>
      <c r="D755" s="58"/>
      <c r="E755" s="58"/>
      <c r="F755" s="58"/>
      <c r="G755" s="58"/>
      <c r="H755" s="58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8"/>
      <c r="U755" s="58"/>
      <c r="V755" s="58"/>
      <c r="W755" s="58"/>
      <c r="X755" s="58"/>
      <c r="Y755" s="58"/>
      <c r="Z755" s="58"/>
    </row>
    <row r="756" spans="1:26">
      <c r="A756" s="58"/>
      <c r="B756" s="58"/>
      <c r="C756" s="58"/>
      <c r="D756" s="58"/>
      <c r="E756" s="58"/>
      <c r="F756" s="58"/>
      <c r="G756" s="58"/>
      <c r="H756" s="58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8"/>
      <c r="U756" s="58"/>
      <c r="V756" s="58"/>
      <c r="W756" s="58"/>
      <c r="X756" s="58"/>
      <c r="Y756" s="58"/>
      <c r="Z756" s="58"/>
    </row>
    <row r="757" spans="1:26">
      <c r="A757" s="58"/>
      <c r="B757" s="58"/>
      <c r="C757" s="58"/>
      <c r="D757" s="58"/>
      <c r="E757" s="58"/>
      <c r="F757" s="58"/>
      <c r="G757" s="58"/>
      <c r="H757" s="58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8"/>
      <c r="U757" s="58"/>
      <c r="V757" s="58"/>
      <c r="W757" s="58"/>
      <c r="X757" s="58"/>
      <c r="Y757" s="58"/>
      <c r="Z757" s="58"/>
    </row>
    <row r="758" spans="1:26">
      <c r="A758" s="58"/>
      <c r="B758" s="58"/>
      <c r="C758" s="58"/>
      <c r="D758" s="58"/>
      <c r="E758" s="58"/>
      <c r="F758" s="58"/>
      <c r="G758" s="58"/>
      <c r="H758" s="58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8"/>
      <c r="U758" s="58"/>
      <c r="V758" s="58"/>
      <c r="W758" s="58"/>
      <c r="X758" s="58"/>
      <c r="Y758" s="58"/>
      <c r="Z758" s="58"/>
    </row>
    <row r="759" spans="1:26">
      <c r="A759" s="58"/>
      <c r="B759" s="58"/>
      <c r="C759" s="58"/>
      <c r="D759" s="58"/>
      <c r="E759" s="58"/>
      <c r="F759" s="58"/>
      <c r="G759" s="58"/>
      <c r="H759" s="58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8"/>
      <c r="U759" s="58"/>
      <c r="V759" s="58"/>
      <c r="W759" s="58"/>
      <c r="X759" s="58"/>
      <c r="Y759" s="58"/>
      <c r="Z759" s="58"/>
    </row>
    <row r="760" spans="1:26">
      <c r="A760" s="58"/>
      <c r="B760" s="58"/>
      <c r="C760" s="58"/>
      <c r="D760" s="58"/>
      <c r="E760" s="58"/>
      <c r="F760" s="58"/>
      <c r="G760" s="58"/>
      <c r="H760" s="58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8"/>
      <c r="U760" s="58"/>
      <c r="V760" s="58"/>
      <c r="W760" s="58"/>
      <c r="X760" s="58"/>
      <c r="Y760" s="58"/>
      <c r="Z760" s="58"/>
    </row>
    <row r="761" spans="1:26">
      <c r="A761" s="58"/>
      <c r="B761" s="58"/>
      <c r="C761" s="58"/>
      <c r="D761" s="58"/>
      <c r="E761" s="58"/>
      <c r="F761" s="58"/>
      <c r="G761" s="58"/>
      <c r="H761" s="58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8"/>
      <c r="U761" s="58"/>
      <c r="V761" s="58"/>
      <c r="W761" s="58"/>
      <c r="X761" s="58"/>
      <c r="Y761" s="58"/>
      <c r="Z761" s="58"/>
    </row>
    <row r="762" spans="1:26">
      <c r="A762" s="58"/>
      <c r="B762" s="58"/>
      <c r="C762" s="58"/>
      <c r="D762" s="58"/>
      <c r="E762" s="58"/>
      <c r="F762" s="58"/>
      <c r="G762" s="58"/>
      <c r="H762" s="58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8"/>
      <c r="U762" s="58"/>
      <c r="V762" s="58"/>
      <c r="W762" s="58"/>
      <c r="X762" s="58"/>
      <c r="Y762" s="58"/>
      <c r="Z762" s="58"/>
    </row>
    <row r="763" spans="1:26">
      <c r="A763" s="58"/>
      <c r="B763" s="58"/>
      <c r="C763" s="58"/>
      <c r="D763" s="58"/>
      <c r="E763" s="58"/>
      <c r="F763" s="58"/>
      <c r="G763" s="58"/>
      <c r="H763" s="58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8"/>
      <c r="U763" s="58"/>
      <c r="V763" s="58"/>
      <c r="W763" s="58"/>
      <c r="X763" s="58"/>
      <c r="Y763" s="58"/>
      <c r="Z763" s="58"/>
    </row>
    <row r="764" spans="1:26">
      <c r="A764" s="58"/>
      <c r="B764" s="58"/>
      <c r="C764" s="58"/>
      <c r="D764" s="58"/>
      <c r="E764" s="58"/>
      <c r="F764" s="58"/>
      <c r="G764" s="58"/>
      <c r="H764" s="58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8"/>
      <c r="U764" s="58"/>
      <c r="V764" s="58"/>
      <c r="W764" s="58"/>
      <c r="X764" s="58"/>
      <c r="Y764" s="58"/>
      <c r="Z764" s="58"/>
    </row>
    <row r="765" spans="1:26">
      <c r="A765" s="58"/>
      <c r="B765" s="58"/>
      <c r="C765" s="58"/>
      <c r="D765" s="58"/>
      <c r="E765" s="58"/>
      <c r="F765" s="58"/>
      <c r="G765" s="58"/>
      <c r="H765" s="58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8"/>
      <c r="U765" s="58"/>
      <c r="V765" s="58"/>
      <c r="W765" s="58"/>
      <c r="X765" s="58"/>
      <c r="Y765" s="58"/>
      <c r="Z765" s="58"/>
    </row>
    <row r="766" spans="1:26">
      <c r="A766" s="58"/>
      <c r="B766" s="58"/>
      <c r="C766" s="58"/>
      <c r="D766" s="58"/>
      <c r="E766" s="58"/>
      <c r="F766" s="58"/>
      <c r="G766" s="58"/>
      <c r="H766" s="58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8"/>
      <c r="U766" s="58"/>
      <c r="V766" s="58"/>
      <c r="W766" s="58"/>
      <c r="X766" s="58"/>
      <c r="Y766" s="58"/>
      <c r="Z766" s="58"/>
    </row>
    <row r="767" spans="1:26">
      <c r="A767" s="58"/>
      <c r="B767" s="58"/>
      <c r="C767" s="58"/>
      <c r="D767" s="58"/>
      <c r="E767" s="58"/>
      <c r="F767" s="58"/>
      <c r="G767" s="58"/>
      <c r="H767" s="58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8"/>
      <c r="U767" s="58"/>
      <c r="V767" s="58"/>
      <c r="W767" s="58"/>
      <c r="X767" s="58"/>
      <c r="Y767" s="58"/>
      <c r="Z767" s="58"/>
    </row>
    <row r="768" spans="1:26">
      <c r="A768" s="58"/>
      <c r="B768" s="58"/>
      <c r="C768" s="58"/>
      <c r="D768" s="58"/>
      <c r="E768" s="58"/>
      <c r="F768" s="58"/>
      <c r="G768" s="58"/>
      <c r="H768" s="58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8"/>
      <c r="U768" s="58"/>
      <c r="V768" s="58"/>
      <c r="W768" s="58"/>
      <c r="X768" s="58"/>
      <c r="Y768" s="58"/>
      <c r="Z768" s="58"/>
    </row>
    <row r="769" spans="1:26">
      <c r="A769" s="58"/>
      <c r="B769" s="58"/>
      <c r="C769" s="58"/>
      <c r="D769" s="58"/>
      <c r="E769" s="58"/>
      <c r="F769" s="58"/>
      <c r="G769" s="58"/>
      <c r="H769" s="58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8"/>
      <c r="U769" s="58"/>
      <c r="V769" s="58"/>
      <c r="W769" s="58"/>
      <c r="X769" s="58"/>
      <c r="Y769" s="58"/>
      <c r="Z769" s="58"/>
    </row>
    <row r="770" spans="1:26">
      <c r="A770" s="58"/>
      <c r="B770" s="58"/>
      <c r="C770" s="58"/>
      <c r="D770" s="58"/>
      <c r="E770" s="58"/>
      <c r="F770" s="58"/>
      <c r="G770" s="58"/>
      <c r="H770" s="58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8"/>
      <c r="U770" s="58"/>
      <c r="V770" s="58"/>
      <c r="W770" s="58"/>
      <c r="X770" s="58"/>
      <c r="Y770" s="58"/>
      <c r="Z770" s="58"/>
    </row>
    <row r="771" spans="1:26">
      <c r="A771" s="58"/>
      <c r="B771" s="58"/>
      <c r="C771" s="58"/>
      <c r="D771" s="58"/>
      <c r="E771" s="58"/>
      <c r="F771" s="58"/>
      <c r="G771" s="58"/>
      <c r="H771" s="58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8"/>
      <c r="U771" s="58"/>
      <c r="V771" s="58"/>
      <c r="W771" s="58"/>
      <c r="X771" s="58"/>
      <c r="Y771" s="58"/>
      <c r="Z771" s="58"/>
    </row>
    <row r="772" spans="1:26">
      <c r="A772" s="58"/>
      <c r="B772" s="58"/>
      <c r="C772" s="58"/>
      <c r="D772" s="58"/>
      <c r="E772" s="58"/>
      <c r="F772" s="58"/>
      <c r="G772" s="58"/>
      <c r="H772" s="58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8"/>
      <c r="U772" s="58"/>
      <c r="V772" s="58"/>
      <c r="W772" s="58"/>
      <c r="X772" s="58"/>
      <c r="Y772" s="58"/>
      <c r="Z772" s="58"/>
    </row>
    <row r="773" spans="1:26">
      <c r="A773" s="58"/>
      <c r="B773" s="58"/>
      <c r="C773" s="58"/>
      <c r="D773" s="58"/>
      <c r="E773" s="58"/>
      <c r="F773" s="58"/>
      <c r="G773" s="58"/>
      <c r="H773" s="58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8"/>
      <c r="U773" s="58"/>
      <c r="V773" s="58"/>
      <c r="W773" s="58"/>
      <c r="X773" s="58"/>
      <c r="Y773" s="58"/>
      <c r="Z773" s="58"/>
    </row>
    <row r="774" spans="1:26">
      <c r="A774" s="58"/>
      <c r="B774" s="58"/>
      <c r="C774" s="58"/>
      <c r="D774" s="58"/>
      <c r="E774" s="58"/>
      <c r="F774" s="58"/>
      <c r="G774" s="58"/>
      <c r="H774" s="58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8"/>
      <c r="U774" s="58"/>
      <c r="V774" s="58"/>
      <c r="W774" s="58"/>
      <c r="X774" s="58"/>
      <c r="Y774" s="58"/>
      <c r="Z774" s="58"/>
    </row>
    <row r="775" spans="1:26">
      <c r="A775" s="58"/>
      <c r="B775" s="58"/>
      <c r="C775" s="58"/>
      <c r="D775" s="58"/>
      <c r="E775" s="58"/>
      <c r="F775" s="58"/>
      <c r="G775" s="58"/>
      <c r="H775" s="58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8"/>
      <c r="U775" s="58"/>
      <c r="V775" s="58"/>
      <c r="W775" s="58"/>
      <c r="X775" s="58"/>
      <c r="Y775" s="58"/>
      <c r="Z775" s="58"/>
    </row>
    <row r="776" spans="1:26">
      <c r="A776" s="58"/>
      <c r="B776" s="58"/>
      <c r="C776" s="58"/>
      <c r="D776" s="58"/>
      <c r="E776" s="58"/>
      <c r="F776" s="58"/>
      <c r="G776" s="58"/>
      <c r="H776" s="58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8"/>
      <c r="U776" s="58"/>
      <c r="V776" s="58"/>
      <c r="W776" s="58"/>
      <c r="X776" s="58"/>
      <c r="Y776" s="58"/>
      <c r="Z776" s="58"/>
    </row>
    <row r="777" spans="1:26">
      <c r="A777" s="58"/>
      <c r="B777" s="58"/>
      <c r="C777" s="58"/>
      <c r="D777" s="58"/>
      <c r="E777" s="58"/>
      <c r="F777" s="58"/>
      <c r="G777" s="58"/>
      <c r="H777" s="58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8"/>
      <c r="U777" s="58"/>
      <c r="V777" s="58"/>
      <c r="W777" s="58"/>
      <c r="X777" s="58"/>
      <c r="Y777" s="58"/>
      <c r="Z777" s="58"/>
    </row>
    <row r="778" spans="1:26">
      <c r="A778" s="58"/>
      <c r="B778" s="58"/>
      <c r="C778" s="58"/>
      <c r="D778" s="58"/>
      <c r="E778" s="58"/>
      <c r="F778" s="58"/>
      <c r="G778" s="58"/>
      <c r="H778" s="58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8"/>
      <c r="U778" s="58"/>
      <c r="V778" s="58"/>
      <c r="W778" s="58"/>
      <c r="X778" s="58"/>
      <c r="Y778" s="58"/>
      <c r="Z778" s="58"/>
    </row>
    <row r="779" spans="1:26">
      <c r="A779" s="58"/>
      <c r="B779" s="58"/>
      <c r="C779" s="58"/>
      <c r="D779" s="58"/>
      <c r="E779" s="58"/>
      <c r="F779" s="58"/>
      <c r="G779" s="58"/>
      <c r="H779" s="58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8"/>
      <c r="U779" s="58"/>
      <c r="V779" s="58"/>
      <c r="W779" s="58"/>
      <c r="X779" s="58"/>
      <c r="Y779" s="58"/>
      <c r="Z779" s="58"/>
    </row>
    <row r="780" spans="1:26">
      <c r="A780" s="58"/>
      <c r="B780" s="58"/>
      <c r="C780" s="58"/>
      <c r="D780" s="58"/>
      <c r="E780" s="58"/>
      <c r="F780" s="58"/>
      <c r="G780" s="58"/>
      <c r="H780" s="58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8"/>
      <c r="U780" s="58"/>
      <c r="V780" s="58"/>
      <c r="W780" s="58"/>
      <c r="X780" s="58"/>
      <c r="Y780" s="58"/>
      <c r="Z780" s="58"/>
    </row>
    <row r="781" spans="1:26">
      <c r="A781" s="58"/>
      <c r="B781" s="58"/>
      <c r="C781" s="58"/>
      <c r="D781" s="58"/>
      <c r="E781" s="58"/>
      <c r="F781" s="58"/>
      <c r="G781" s="58"/>
      <c r="H781" s="58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8"/>
      <c r="U781" s="58"/>
      <c r="V781" s="58"/>
      <c r="W781" s="58"/>
      <c r="X781" s="58"/>
      <c r="Y781" s="58"/>
      <c r="Z781" s="58"/>
    </row>
    <row r="782" spans="1:26">
      <c r="A782" s="58"/>
      <c r="B782" s="58"/>
      <c r="C782" s="58"/>
      <c r="D782" s="58"/>
      <c r="E782" s="58"/>
      <c r="F782" s="58"/>
      <c r="G782" s="58"/>
      <c r="H782" s="58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8"/>
      <c r="U782" s="58"/>
      <c r="V782" s="58"/>
      <c r="W782" s="58"/>
      <c r="X782" s="58"/>
      <c r="Y782" s="58"/>
      <c r="Z782" s="58"/>
    </row>
    <row r="783" spans="1:26">
      <c r="A783" s="58"/>
      <c r="B783" s="58"/>
      <c r="C783" s="58"/>
      <c r="D783" s="58"/>
      <c r="E783" s="58"/>
      <c r="F783" s="58"/>
      <c r="G783" s="58"/>
      <c r="H783" s="58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8"/>
      <c r="U783" s="58"/>
      <c r="V783" s="58"/>
      <c r="W783" s="58"/>
      <c r="X783" s="58"/>
      <c r="Y783" s="58"/>
      <c r="Z783" s="58"/>
    </row>
    <row r="784" spans="1:26">
      <c r="A784" s="58"/>
      <c r="B784" s="58"/>
      <c r="C784" s="58"/>
      <c r="D784" s="58"/>
      <c r="E784" s="58"/>
      <c r="F784" s="58"/>
      <c r="G784" s="58"/>
      <c r="H784" s="58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8"/>
      <c r="U784" s="58"/>
      <c r="V784" s="58"/>
      <c r="W784" s="58"/>
      <c r="X784" s="58"/>
      <c r="Y784" s="58"/>
      <c r="Z784" s="58"/>
    </row>
    <row r="785" spans="1:26">
      <c r="A785" s="58"/>
      <c r="B785" s="58"/>
      <c r="C785" s="58"/>
      <c r="D785" s="58"/>
      <c r="E785" s="58"/>
      <c r="F785" s="58"/>
      <c r="G785" s="58"/>
      <c r="H785" s="58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8"/>
      <c r="U785" s="58"/>
      <c r="V785" s="58"/>
      <c r="W785" s="58"/>
      <c r="X785" s="58"/>
      <c r="Y785" s="58"/>
      <c r="Z785" s="58"/>
    </row>
    <row r="786" spans="1:26">
      <c r="A786" s="58"/>
      <c r="B786" s="58"/>
      <c r="C786" s="58"/>
      <c r="D786" s="58"/>
      <c r="E786" s="58"/>
      <c r="F786" s="58"/>
      <c r="G786" s="58"/>
      <c r="H786" s="58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8"/>
      <c r="U786" s="58"/>
      <c r="V786" s="58"/>
      <c r="W786" s="58"/>
      <c r="X786" s="58"/>
      <c r="Y786" s="58"/>
      <c r="Z786" s="58"/>
    </row>
    <row r="787" spans="1:26">
      <c r="A787" s="58"/>
      <c r="B787" s="58"/>
      <c r="C787" s="58"/>
      <c r="D787" s="58"/>
      <c r="E787" s="58"/>
      <c r="F787" s="58"/>
      <c r="G787" s="58"/>
      <c r="H787" s="58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8"/>
      <c r="U787" s="58"/>
      <c r="V787" s="58"/>
      <c r="W787" s="58"/>
      <c r="X787" s="58"/>
      <c r="Y787" s="58"/>
      <c r="Z787" s="58"/>
    </row>
    <row r="788" spans="1:26">
      <c r="A788" s="58"/>
      <c r="B788" s="58"/>
      <c r="C788" s="58"/>
      <c r="D788" s="58"/>
      <c r="E788" s="58"/>
      <c r="F788" s="58"/>
      <c r="G788" s="58"/>
      <c r="H788" s="58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8"/>
      <c r="U788" s="58"/>
      <c r="V788" s="58"/>
      <c r="W788" s="58"/>
      <c r="X788" s="58"/>
      <c r="Y788" s="58"/>
      <c r="Z788" s="58"/>
    </row>
    <row r="789" spans="1:26">
      <c r="A789" s="58"/>
      <c r="B789" s="58"/>
      <c r="C789" s="58"/>
      <c r="D789" s="58"/>
      <c r="E789" s="58"/>
      <c r="F789" s="58"/>
      <c r="G789" s="58"/>
      <c r="H789" s="58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8"/>
      <c r="U789" s="58"/>
      <c r="V789" s="58"/>
      <c r="W789" s="58"/>
      <c r="X789" s="58"/>
      <c r="Y789" s="58"/>
      <c r="Z789" s="58"/>
    </row>
    <row r="790" spans="1:26">
      <c r="A790" s="58"/>
      <c r="B790" s="58"/>
      <c r="C790" s="58"/>
      <c r="D790" s="58"/>
      <c r="E790" s="58"/>
      <c r="F790" s="58"/>
      <c r="G790" s="58"/>
      <c r="H790" s="58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8"/>
      <c r="U790" s="58"/>
      <c r="V790" s="58"/>
      <c r="W790" s="58"/>
      <c r="X790" s="58"/>
      <c r="Y790" s="58"/>
      <c r="Z790" s="58"/>
    </row>
    <row r="791" spans="1:26">
      <c r="A791" s="58"/>
      <c r="B791" s="58"/>
      <c r="C791" s="58"/>
      <c r="D791" s="58"/>
      <c r="E791" s="58"/>
      <c r="F791" s="58"/>
      <c r="G791" s="58"/>
      <c r="H791" s="58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8"/>
      <c r="U791" s="58"/>
      <c r="V791" s="58"/>
      <c r="W791" s="58"/>
      <c r="X791" s="58"/>
      <c r="Y791" s="58"/>
      <c r="Z791" s="58"/>
    </row>
    <row r="792" spans="1:26">
      <c r="A792" s="58"/>
      <c r="B792" s="58"/>
      <c r="C792" s="58"/>
      <c r="D792" s="58"/>
      <c r="E792" s="58"/>
      <c r="F792" s="58"/>
      <c r="G792" s="58"/>
      <c r="H792" s="58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8"/>
      <c r="U792" s="58"/>
      <c r="V792" s="58"/>
      <c r="W792" s="58"/>
      <c r="X792" s="58"/>
      <c r="Y792" s="58"/>
      <c r="Z792" s="58"/>
    </row>
    <row r="793" spans="1:26">
      <c r="A793" s="58"/>
      <c r="B793" s="58"/>
      <c r="C793" s="58"/>
      <c r="D793" s="58"/>
      <c r="E793" s="58"/>
      <c r="F793" s="58"/>
      <c r="G793" s="58"/>
      <c r="H793" s="58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8"/>
      <c r="U793" s="58"/>
      <c r="V793" s="58"/>
      <c r="W793" s="58"/>
      <c r="X793" s="58"/>
      <c r="Y793" s="58"/>
      <c r="Z793" s="58"/>
    </row>
    <row r="794" spans="1:26">
      <c r="A794" s="58"/>
      <c r="B794" s="58"/>
      <c r="C794" s="58"/>
      <c r="D794" s="58"/>
      <c r="E794" s="58"/>
      <c r="F794" s="58"/>
      <c r="G794" s="58"/>
      <c r="H794" s="58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8"/>
      <c r="U794" s="58"/>
      <c r="V794" s="58"/>
      <c r="W794" s="58"/>
      <c r="X794" s="58"/>
      <c r="Y794" s="58"/>
      <c r="Z794" s="58"/>
    </row>
    <row r="795" spans="1:26">
      <c r="A795" s="58"/>
      <c r="B795" s="58"/>
      <c r="C795" s="58"/>
      <c r="D795" s="58"/>
      <c r="E795" s="58"/>
      <c r="F795" s="58"/>
      <c r="G795" s="58"/>
      <c r="H795" s="58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8"/>
      <c r="U795" s="58"/>
      <c r="V795" s="58"/>
      <c r="W795" s="58"/>
      <c r="X795" s="58"/>
      <c r="Y795" s="58"/>
      <c r="Z795" s="58"/>
    </row>
    <row r="796" spans="1:26">
      <c r="A796" s="58"/>
      <c r="B796" s="58"/>
      <c r="C796" s="58"/>
      <c r="D796" s="58"/>
      <c r="E796" s="58"/>
      <c r="F796" s="58"/>
      <c r="G796" s="58"/>
      <c r="H796" s="58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8"/>
      <c r="U796" s="58"/>
      <c r="V796" s="58"/>
      <c r="W796" s="58"/>
      <c r="X796" s="58"/>
      <c r="Y796" s="58"/>
      <c r="Z796" s="58"/>
    </row>
    <row r="797" spans="1:26">
      <c r="A797" s="58"/>
      <c r="B797" s="58"/>
      <c r="C797" s="58"/>
      <c r="D797" s="58"/>
      <c r="E797" s="58"/>
      <c r="F797" s="58"/>
      <c r="G797" s="58"/>
      <c r="H797" s="58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8"/>
      <c r="U797" s="58"/>
      <c r="V797" s="58"/>
      <c r="W797" s="58"/>
      <c r="X797" s="58"/>
      <c r="Y797" s="58"/>
      <c r="Z797" s="58"/>
    </row>
    <row r="798" spans="1:26">
      <c r="A798" s="58"/>
      <c r="B798" s="58"/>
      <c r="C798" s="58"/>
      <c r="D798" s="58"/>
      <c r="E798" s="58"/>
      <c r="F798" s="58"/>
      <c r="G798" s="58"/>
      <c r="H798" s="58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8"/>
      <c r="U798" s="58"/>
      <c r="V798" s="58"/>
      <c r="W798" s="58"/>
      <c r="X798" s="58"/>
      <c r="Y798" s="58"/>
      <c r="Z798" s="58"/>
    </row>
    <row r="799" spans="1:26">
      <c r="A799" s="58"/>
      <c r="B799" s="58"/>
      <c r="C799" s="58"/>
      <c r="D799" s="58"/>
      <c r="E799" s="58"/>
      <c r="F799" s="58"/>
      <c r="G799" s="58"/>
      <c r="H799" s="58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8"/>
      <c r="U799" s="58"/>
      <c r="V799" s="58"/>
      <c r="W799" s="58"/>
      <c r="X799" s="58"/>
      <c r="Y799" s="58"/>
      <c r="Z799" s="58"/>
    </row>
    <row r="800" spans="1:26">
      <c r="A800" s="58"/>
      <c r="B800" s="58"/>
      <c r="C800" s="58"/>
      <c r="D800" s="58"/>
      <c r="E800" s="58"/>
      <c r="F800" s="58"/>
      <c r="G800" s="58"/>
      <c r="H800" s="58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8"/>
      <c r="U800" s="58"/>
      <c r="V800" s="58"/>
      <c r="W800" s="58"/>
      <c r="X800" s="58"/>
      <c r="Y800" s="58"/>
      <c r="Z800" s="58"/>
    </row>
    <row r="801" spans="1:26">
      <c r="A801" s="58"/>
      <c r="B801" s="58"/>
      <c r="C801" s="58"/>
      <c r="D801" s="58"/>
      <c r="E801" s="58"/>
      <c r="F801" s="58"/>
      <c r="G801" s="58"/>
      <c r="H801" s="58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8"/>
      <c r="U801" s="58"/>
      <c r="V801" s="58"/>
      <c r="W801" s="58"/>
      <c r="X801" s="58"/>
      <c r="Y801" s="58"/>
      <c r="Z801" s="58"/>
    </row>
    <row r="802" spans="1:26">
      <c r="A802" s="58"/>
      <c r="B802" s="58"/>
      <c r="C802" s="58"/>
      <c r="D802" s="58"/>
      <c r="E802" s="58"/>
      <c r="F802" s="58"/>
      <c r="G802" s="58"/>
      <c r="H802" s="58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8"/>
      <c r="U802" s="58"/>
      <c r="V802" s="58"/>
      <c r="W802" s="58"/>
      <c r="X802" s="58"/>
      <c r="Y802" s="58"/>
      <c r="Z802" s="58"/>
    </row>
    <row r="803" spans="1:26">
      <c r="A803" s="58"/>
      <c r="B803" s="58"/>
      <c r="C803" s="58"/>
      <c r="D803" s="58"/>
      <c r="E803" s="58"/>
      <c r="F803" s="58"/>
      <c r="G803" s="58"/>
      <c r="H803" s="58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8"/>
      <c r="U803" s="58"/>
      <c r="V803" s="58"/>
      <c r="W803" s="58"/>
      <c r="X803" s="58"/>
      <c r="Y803" s="58"/>
      <c r="Z803" s="58"/>
    </row>
    <row r="804" spans="1:26">
      <c r="A804" s="58"/>
      <c r="B804" s="58"/>
      <c r="C804" s="58"/>
      <c r="D804" s="58"/>
      <c r="E804" s="58"/>
      <c r="F804" s="58"/>
      <c r="G804" s="58"/>
      <c r="H804" s="58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8"/>
      <c r="U804" s="58"/>
      <c r="V804" s="58"/>
      <c r="W804" s="58"/>
      <c r="X804" s="58"/>
      <c r="Y804" s="58"/>
      <c r="Z804" s="58"/>
    </row>
    <row r="805" spans="1:26">
      <c r="A805" s="58"/>
      <c r="B805" s="58"/>
      <c r="C805" s="58"/>
      <c r="D805" s="58"/>
      <c r="E805" s="58"/>
      <c r="F805" s="58"/>
      <c r="G805" s="58"/>
      <c r="H805" s="58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8"/>
      <c r="U805" s="58"/>
      <c r="V805" s="58"/>
      <c r="W805" s="58"/>
      <c r="X805" s="58"/>
      <c r="Y805" s="58"/>
      <c r="Z805" s="58"/>
    </row>
    <row r="806" spans="1:26">
      <c r="A806" s="58"/>
      <c r="B806" s="58"/>
      <c r="C806" s="58"/>
      <c r="D806" s="58"/>
      <c r="E806" s="58"/>
      <c r="F806" s="58"/>
      <c r="G806" s="58"/>
      <c r="H806" s="58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8"/>
      <c r="U806" s="58"/>
      <c r="V806" s="58"/>
      <c r="W806" s="58"/>
      <c r="X806" s="58"/>
      <c r="Y806" s="58"/>
      <c r="Z806" s="58"/>
    </row>
    <row r="807" spans="1:26">
      <c r="A807" s="58"/>
      <c r="B807" s="58"/>
      <c r="C807" s="58"/>
      <c r="D807" s="58"/>
      <c r="E807" s="58"/>
      <c r="F807" s="58"/>
      <c r="G807" s="58"/>
      <c r="H807" s="58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8"/>
      <c r="U807" s="58"/>
      <c r="V807" s="58"/>
      <c r="W807" s="58"/>
      <c r="X807" s="58"/>
      <c r="Y807" s="58"/>
      <c r="Z807" s="58"/>
    </row>
    <row r="808" spans="1:26">
      <c r="A808" s="58"/>
      <c r="B808" s="58"/>
      <c r="C808" s="58"/>
      <c r="D808" s="58"/>
      <c r="E808" s="58"/>
      <c r="F808" s="58"/>
      <c r="G808" s="58"/>
      <c r="H808" s="58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8"/>
      <c r="U808" s="58"/>
      <c r="V808" s="58"/>
      <c r="W808" s="58"/>
      <c r="X808" s="58"/>
      <c r="Y808" s="58"/>
      <c r="Z808" s="58"/>
    </row>
    <row r="809" spans="1:26">
      <c r="A809" s="58"/>
      <c r="B809" s="58"/>
      <c r="C809" s="58"/>
      <c r="D809" s="58"/>
      <c r="E809" s="58"/>
      <c r="F809" s="58"/>
      <c r="G809" s="58"/>
      <c r="H809" s="58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8"/>
      <c r="U809" s="58"/>
      <c r="V809" s="58"/>
      <c r="W809" s="58"/>
      <c r="X809" s="58"/>
      <c r="Y809" s="58"/>
      <c r="Z809" s="58"/>
    </row>
    <row r="810" spans="1:26">
      <c r="A810" s="58"/>
      <c r="B810" s="58"/>
      <c r="C810" s="58"/>
      <c r="D810" s="58"/>
      <c r="E810" s="58"/>
      <c r="F810" s="58"/>
      <c r="G810" s="58"/>
      <c r="H810" s="58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8"/>
      <c r="U810" s="58"/>
      <c r="V810" s="58"/>
      <c r="W810" s="58"/>
      <c r="X810" s="58"/>
      <c r="Y810" s="58"/>
      <c r="Z810" s="58"/>
    </row>
    <row r="811" spans="1:26">
      <c r="A811" s="58"/>
      <c r="B811" s="58"/>
      <c r="C811" s="58"/>
      <c r="D811" s="58"/>
      <c r="E811" s="58"/>
      <c r="F811" s="58"/>
      <c r="G811" s="58"/>
      <c r="H811" s="58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8"/>
      <c r="U811" s="58"/>
      <c r="V811" s="58"/>
      <c r="W811" s="58"/>
      <c r="X811" s="58"/>
      <c r="Y811" s="58"/>
      <c r="Z811" s="58"/>
    </row>
    <row r="812" spans="1:26">
      <c r="A812" s="58"/>
      <c r="B812" s="58"/>
      <c r="C812" s="58"/>
      <c r="D812" s="58"/>
      <c r="E812" s="58"/>
      <c r="F812" s="58"/>
      <c r="G812" s="58"/>
      <c r="H812" s="58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8"/>
      <c r="U812" s="58"/>
      <c r="V812" s="58"/>
      <c r="W812" s="58"/>
      <c r="X812" s="58"/>
      <c r="Y812" s="58"/>
      <c r="Z812" s="58"/>
    </row>
    <row r="813" spans="1:26">
      <c r="A813" s="58"/>
      <c r="B813" s="58"/>
      <c r="C813" s="58"/>
      <c r="D813" s="58"/>
      <c r="E813" s="58"/>
      <c r="F813" s="58"/>
      <c r="G813" s="58"/>
      <c r="H813" s="58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8"/>
      <c r="U813" s="58"/>
      <c r="V813" s="58"/>
      <c r="W813" s="58"/>
      <c r="X813" s="58"/>
      <c r="Y813" s="58"/>
      <c r="Z813" s="58"/>
    </row>
    <row r="814" spans="1:26">
      <c r="A814" s="58"/>
      <c r="B814" s="58"/>
      <c r="C814" s="58"/>
      <c r="D814" s="58"/>
      <c r="E814" s="58"/>
      <c r="F814" s="58"/>
      <c r="G814" s="58"/>
      <c r="H814" s="58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8"/>
      <c r="U814" s="58"/>
      <c r="V814" s="58"/>
      <c r="W814" s="58"/>
      <c r="X814" s="58"/>
      <c r="Y814" s="58"/>
      <c r="Z814" s="58"/>
    </row>
    <row r="815" spans="1:26">
      <c r="A815" s="58"/>
      <c r="B815" s="58"/>
      <c r="C815" s="58"/>
      <c r="D815" s="58"/>
      <c r="E815" s="58"/>
      <c r="F815" s="58"/>
      <c r="G815" s="58"/>
      <c r="H815" s="58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8"/>
      <c r="U815" s="58"/>
      <c r="V815" s="58"/>
      <c r="W815" s="58"/>
      <c r="X815" s="58"/>
      <c r="Y815" s="58"/>
      <c r="Z815" s="58"/>
    </row>
    <row r="816" spans="1:26">
      <c r="A816" s="58"/>
      <c r="B816" s="58"/>
      <c r="C816" s="58"/>
      <c r="D816" s="58"/>
      <c r="E816" s="58"/>
      <c r="F816" s="58"/>
      <c r="G816" s="58"/>
      <c r="H816" s="58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8"/>
      <c r="U816" s="58"/>
      <c r="V816" s="58"/>
      <c r="W816" s="58"/>
      <c r="X816" s="58"/>
      <c r="Y816" s="58"/>
      <c r="Z816" s="58"/>
    </row>
    <row r="817" spans="1:26">
      <c r="A817" s="58"/>
      <c r="B817" s="58"/>
      <c r="C817" s="58"/>
      <c r="D817" s="58"/>
      <c r="E817" s="58"/>
      <c r="F817" s="58"/>
      <c r="G817" s="58"/>
      <c r="H817" s="58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8"/>
      <c r="U817" s="58"/>
      <c r="V817" s="58"/>
      <c r="W817" s="58"/>
      <c r="X817" s="58"/>
      <c r="Y817" s="58"/>
      <c r="Z817" s="58"/>
    </row>
    <row r="818" spans="1:26">
      <c r="A818" s="58"/>
      <c r="B818" s="58"/>
      <c r="C818" s="58"/>
      <c r="D818" s="58"/>
      <c r="E818" s="58"/>
      <c r="F818" s="58"/>
      <c r="G818" s="58"/>
      <c r="H818" s="58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8"/>
      <c r="U818" s="58"/>
      <c r="V818" s="58"/>
      <c r="W818" s="58"/>
      <c r="X818" s="58"/>
      <c r="Y818" s="58"/>
      <c r="Z818" s="58"/>
    </row>
    <row r="819" spans="1:26">
      <c r="A819" s="58"/>
      <c r="B819" s="58"/>
      <c r="C819" s="58"/>
      <c r="D819" s="58"/>
      <c r="E819" s="58"/>
      <c r="F819" s="58"/>
      <c r="G819" s="58"/>
      <c r="H819" s="58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8"/>
      <c r="U819" s="58"/>
      <c r="V819" s="58"/>
      <c r="W819" s="58"/>
      <c r="X819" s="58"/>
      <c r="Y819" s="58"/>
      <c r="Z819" s="58"/>
    </row>
    <row r="820" spans="1:26">
      <c r="A820" s="58"/>
      <c r="B820" s="58"/>
      <c r="C820" s="58"/>
      <c r="D820" s="58"/>
      <c r="E820" s="58"/>
      <c r="F820" s="58"/>
      <c r="G820" s="58"/>
      <c r="H820" s="58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8"/>
      <c r="U820" s="58"/>
      <c r="V820" s="58"/>
      <c r="W820" s="58"/>
      <c r="X820" s="58"/>
      <c r="Y820" s="58"/>
      <c r="Z820" s="58"/>
    </row>
    <row r="821" spans="1:26">
      <c r="A821" s="58"/>
      <c r="B821" s="58"/>
      <c r="C821" s="58"/>
      <c r="D821" s="58"/>
      <c r="E821" s="58"/>
      <c r="F821" s="58"/>
      <c r="G821" s="58"/>
      <c r="H821" s="58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8"/>
      <c r="U821" s="58"/>
      <c r="V821" s="58"/>
      <c r="W821" s="58"/>
      <c r="X821" s="58"/>
      <c r="Y821" s="58"/>
      <c r="Z821" s="58"/>
    </row>
    <row r="822" spans="1:26">
      <c r="A822" s="58"/>
      <c r="B822" s="58"/>
      <c r="C822" s="58"/>
      <c r="D822" s="58"/>
      <c r="E822" s="58"/>
      <c r="F822" s="58"/>
      <c r="G822" s="58"/>
      <c r="H822" s="58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8"/>
      <c r="U822" s="58"/>
      <c r="V822" s="58"/>
      <c r="W822" s="58"/>
      <c r="X822" s="58"/>
      <c r="Y822" s="58"/>
      <c r="Z822" s="58"/>
    </row>
    <row r="823" spans="1:26">
      <c r="A823" s="58"/>
      <c r="B823" s="58"/>
      <c r="C823" s="58"/>
      <c r="D823" s="58"/>
      <c r="E823" s="58"/>
      <c r="F823" s="58"/>
      <c r="G823" s="58"/>
      <c r="H823" s="58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8"/>
      <c r="U823" s="58"/>
      <c r="V823" s="58"/>
      <c r="W823" s="58"/>
      <c r="X823" s="58"/>
      <c r="Y823" s="58"/>
      <c r="Z823" s="58"/>
    </row>
    <row r="824" spans="1:26">
      <c r="A824" s="58"/>
      <c r="B824" s="58"/>
      <c r="C824" s="58"/>
      <c r="D824" s="58"/>
      <c r="E824" s="58"/>
      <c r="F824" s="58"/>
      <c r="G824" s="58"/>
      <c r="H824" s="58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8"/>
      <c r="U824" s="58"/>
      <c r="V824" s="58"/>
      <c r="W824" s="58"/>
      <c r="X824" s="58"/>
      <c r="Y824" s="58"/>
      <c r="Z824" s="58"/>
    </row>
    <row r="825" spans="1:26">
      <c r="A825" s="58"/>
      <c r="B825" s="58"/>
      <c r="C825" s="58"/>
      <c r="D825" s="58"/>
      <c r="E825" s="58"/>
      <c r="F825" s="58"/>
      <c r="G825" s="58"/>
      <c r="H825" s="58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8"/>
      <c r="U825" s="58"/>
      <c r="V825" s="58"/>
      <c r="W825" s="58"/>
      <c r="X825" s="58"/>
      <c r="Y825" s="58"/>
      <c r="Z825" s="58"/>
    </row>
    <row r="826" spans="1:26">
      <c r="A826" s="58"/>
      <c r="B826" s="58"/>
      <c r="C826" s="58"/>
      <c r="D826" s="58"/>
      <c r="E826" s="58"/>
      <c r="F826" s="58"/>
      <c r="G826" s="58"/>
      <c r="H826" s="58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8"/>
      <c r="U826" s="58"/>
      <c r="V826" s="58"/>
      <c r="W826" s="58"/>
      <c r="X826" s="58"/>
      <c r="Y826" s="58"/>
      <c r="Z826" s="58"/>
    </row>
    <row r="827" spans="1:26">
      <c r="A827" s="58"/>
      <c r="B827" s="58"/>
      <c r="C827" s="58"/>
      <c r="D827" s="58"/>
      <c r="E827" s="58"/>
      <c r="F827" s="58"/>
      <c r="G827" s="58"/>
      <c r="H827" s="58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8"/>
      <c r="U827" s="58"/>
      <c r="V827" s="58"/>
      <c r="W827" s="58"/>
      <c r="X827" s="58"/>
      <c r="Y827" s="58"/>
      <c r="Z827" s="58"/>
    </row>
    <row r="828" spans="1:26">
      <c r="A828" s="58"/>
      <c r="B828" s="58"/>
      <c r="C828" s="58"/>
      <c r="D828" s="58"/>
      <c r="E828" s="58"/>
      <c r="F828" s="58"/>
      <c r="G828" s="58"/>
      <c r="H828" s="58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8"/>
      <c r="U828" s="58"/>
      <c r="V828" s="58"/>
      <c r="W828" s="58"/>
      <c r="X828" s="58"/>
      <c r="Y828" s="58"/>
      <c r="Z828" s="58"/>
    </row>
    <row r="829" spans="1:26">
      <c r="A829" s="58"/>
      <c r="B829" s="58"/>
      <c r="C829" s="58"/>
      <c r="D829" s="58"/>
      <c r="E829" s="58"/>
      <c r="F829" s="58"/>
      <c r="G829" s="58"/>
      <c r="H829" s="58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8"/>
      <c r="U829" s="58"/>
      <c r="V829" s="58"/>
      <c r="W829" s="58"/>
      <c r="X829" s="58"/>
      <c r="Y829" s="58"/>
      <c r="Z829" s="58"/>
    </row>
    <row r="830" spans="1:26">
      <c r="A830" s="58"/>
      <c r="B830" s="58"/>
      <c r="C830" s="58"/>
      <c r="D830" s="58"/>
      <c r="E830" s="58"/>
      <c r="F830" s="58"/>
      <c r="G830" s="58"/>
      <c r="H830" s="58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8"/>
      <c r="U830" s="58"/>
      <c r="V830" s="58"/>
      <c r="W830" s="58"/>
      <c r="X830" s="58"/>
      <c r="Y830" s="58"/>
      <c r="Z830" s="58"/>
    </row>
    <row r="831" spans="1:26">
      <c r="A831" s="58"/>
      <c r="B831" s="58"/>
      <c r="C831" s="58"/>
      <c r="D831" s="58"/>
      <c r="E831" s="58"/>
      <c r="F831" s="58"/>
      <c r="G831" s="58"/>
      <c r="H831" s="58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8"/>
      <c r="U831" s="58"/>
      <c r="V831" s="58"/>
      <c r="W831" s="58"/>
      <c r="X831" s="58"/>
      <c r="Y831" s="58"/>
      <c r="Z831" s="58"/>
    </row>
    <row r="832" spans="1:26">
      <c r="A832" s="58"/>
      <c r="B832" s="58"/>
      <c r="C832" s="58"/>
      <c r="D832" s="58"/>
      <c r="E832" s="58"/>
      <c r="F832" s="58"/>
      <c r="G832" s="58"/>
      <c r="H832" s="58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8"/>
      <c r="U832" s="58"/>
      <c r="V832" s="58"/>
      <c r="W832" s="58"/>
      <c r="X832" s="58"/>
      <c r="Y832" s="58"/>
      <c r="Z832" s="58"/>
    </row>
    <row r="833" spans="1:26">
      <c r="A833" s="58"/>
      <c r="B833" s="58"/>
      <c r="C833" s="58"/>
      <c r="D833" s="58"/>
      <c r="E833" s="58"/>
      <c r="F833" s="58"/>
      <c r="G833" s="58"/>
      <c r="H833" s="58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8"/>
      <c r="U833" s="58"/>
      <c r="V833" s="58"/>
      <c r="W833" s="58"/>
      <c r="X833" s="58"/>
      <c r="Y833" s="58"/>
      <c r="Z833" s="58"/>
    </row>
    <row r="834" spans="1:26">
      <c r="A834" s="58"/>
      <c r="B834" s="58"/>
      <c r="C834" s="58"/>
      <c r="D834" s="58"/>
      <c r="E834" s="58"/>
      <c r="F834" s="58"/>
      <c r="G834" s="58"/>
      <c r="H834" s="58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8"/>
      <c r="U834" s="58"/>
      <c r="V834" s="58"/>
      <c r="W834" s="58"/>
      <c r="X834" s="58"/>
      <c r="Y834" s="58"/>
      <c r="Z834" s="58"/>
    </row>
    <row r="835" spans="1:26">
      <c r="A835" s="58"/>
      <c r="B835" s="58"/>
      <c r="C835" s="58"/>
      <c r="D835" s="58"/>
      <c r="E835" s="58"/>
      <c r="F835" s="58"/>
      <c r="G835" s="58"/>
      <c r="H835" s="58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8"/>
      <c r="U835" s="58"/>
      <c r="V835" s="58"/>
      <c r="W835" s="58"/>
      <c r="X835" s="58"/>
      <c r="Y835" s="58"/>
      <c r="Z835" s="58"/>
    </row>
    <row r="836" spans="1:26">
      <c r="A836" s="58"/>
      <c r="B836" s="58"/>
      <c r="C836" s="58"/>
      <c r="D836" s="58"/>
      <c r="E836" s="58"/>
      <c r="F836" s="58"/>
      <c r="G836" s="58"/>
      <c r="H836" s="58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8"/>
      <c r="U836" s="58"/>
      <c r="V836" s="58"/>
      <c r="W836" s="58"/>
      <c r="X836" s="58"/>
      <c r="Y836" s="58"/>
      <c r="Z836" s="58"/>
    </row>
    <row r="837" spans="1:26">
      <c r="A837" s="58"/>
      <c r="B837" s="58"/>
      <c r="C837" s="58"/>
      <c r="D837" s="58"/>
      <c r="E837" s="58"/>
      <c r="F837" s="58"/>
      <c r="G837" s="58"/>
      <c r="H837" s="58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8"/>
      <c r="U837" s="58"/>
      <c r="V837" s="58"/>
      <c r="W837" s="58"/>
      <c r="X837" s="58"/>
      <c r="Y837" s="58"/>
      <c r="Z837" s="58"/>
    </row>
    <row r="838" spans="1:26">
      <c r="A838" s="58"/>
      <c r="B838" s="58"/>
      <c r="C838" s="58"/>
      <c r="D838" s="58"/>
      <c r="E838" s="58"/>
      <c r="F838" s="58"/>
      <c r="G838" s="58"/>
      <c r="H838" s="58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8"/>
      <c r="U838" s="58"/>
      <c r="V838" s="58"/>
      <c r="W838" s="58"/>
      <c r="X838" s="58"/>
      <c r="Y838" s="58"/>
      <c r="Z838" s="58"/>
    </row>
    <row r="839" spans="1:26">
      <c r="A839" s="58"/>
      <c r="B839" s="58"/>
      <c r="C839" s="58"/>
      <c r="D839" s="58"/>
      <c r="E839" s="58"/>
      <c r="F839" s="58"/>
      <c r="G839" s="58"/>
      <c r="H839" s="58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8"/>
      <c r="U839" s="58"/>
      <c r="V839" s="58"/>
      <c r="W839" s="58"/>
      <c r="X839" s="58"/>
      <c r="Y839" s="58"/>
      <c r="Z839" s="58"/>
    </row>
    <row r="840" spans="1:26">
      <c r="A840" s="58"/>
      <c r="B840" s="58"/>
      <c r="C840" s="58"/>
      <c r="D840" s="58"/>
      <c r="E840" s="58"/>
      <c r="F840" s="58"/>
      <c r="G840" s="58"/>
      <c r="H840" s="58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8"/>
      <c r="U840" s="58"/>
      <c r="V840" s="58"/>
      <c r="W840" s="58"/>
      <c r="X840" s="58"/>
      <c r="Y840" s="58"/>
      <c r="Z840" s="58"/>
    </row>
    <row r="841" spans="1:26">
      <c r="A841" s="58"/>
      <c r="B841" s="58"/>
      <c r="C841" s="58"/>
      <c r="D841" s="58"/>
      <c r="E841" s="58"/>
      <c r="F841" s="58"/>
      <c r="G841" s="58"/>
      <c r="H841" s="58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8"/>
      <c r="U841" s="58"/>
      <c r="V841" s="58"/>
      <c r="W841" s="58"/>
      <c r="X841" s="58"/>
      <c r="Y841" s="58"/>
      <c r="Z841" s="58"/>
    </row>
    <row r="842" spans="1:26">
      <c r="A842" s="58"/>
      <c r="B842" s="58"/>
      <c r="C842" s="58"/>
      <c r="D842" s="58"/>
      <c r="E842" s="58"/>
      <c r="F842" s="58"/>
      <c r="G842" s="58"/>
      <c r="H842" s="58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8"/>
      <c r="U842" s="58"/>
      <c r="V842" s="58"/>
      <c r="W842" s="58"/>
      <c r="X842" s="58"/>
      <c r="Y842" s="58"/>
      <c r="Z842" s="58"/>
    </row>
    <row r="843" spans="1:26">
      <c r="A843" s="58"/>
      <c r="B843" s="58"/>
      <c r="C843" s="58"/>
      <c r="D843" s="58"/>
      <c r="E843" s="58"/>
      <c r="F843" s="58"/>
      <c r="G843" s="58"/>
      <c r="H843" s="58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8"/>
      <c r="U843" s="58"/>
      <c r="V843" s="58"/>
      <c r="W843" s="58"/>
      <c r="X843" s="58"/>
      <c r="Y843" s="58"/>
      <c r="Z843" s="58"/>
    </row>
    <row r="844" spans="1:26">
      <c r="A844" s="58"/>
      <c r="B844" s="58"/>
      <c r="C844" s="58"/>
      <c r="D844" s="58"/>
      <c r="E844" s="58"/>
      <c r="F844" s="58"/>
      <c r="G844" s="58"/>
      <c r="H844" s="58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8"/>
      <c r="U844" s="58"/>
      <c r="V844" s="58"/>
      <c r="W844" s="58"/>
      <c r="X844" s="58"/>
      <c r="Y844" s="58"/>
      <c r="Z844" s="58"/>
    </row>
    <row r="845" spans="1:26">
      <c r="A845" s="58"/>
      <c r="B845" s="58"/>
      <c r="C845" s="58"/>
      <c r="D845" s="58"/>
      <c r="E845" s="58"/>
      <c r="F845" s="58"/>
      <c r="G845" s="58"/>
      <c r="H845" s="58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8"/>
      <c r="U845" s="58"/>
      <c r="V845" s="58"/>
      <c r="W845" s="58"/>
      <c r="X845" s="58"/>
      <c r="Y845" s="58"/>
      <c r="Z845" s="58"/>
    </row>
    <row r="846" spans="1:26">
      <c r="A846" s="58"/>
      <c r="B846" s="58"/>
      <c r="C846" s="58"/>
      <c r="D846" s="58"/>
      <c r="E846" s="58"/>
      <c r="F846" s="58"/>
      <c r="G846" s="58"/>
      <c r="H846" s="58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8"/>
      <c r="U846" s="58"/>
      <c r="V846" s="58"/>
      <c r="W846" s="58"/>
      <c r="X846" s="58"/>
      <c r="Y846" s="58"/>
      <c r="Z846" s="58"/>
    </row>
    <row r="847" spans="1:26">
      <c r="A847" s="58"/>
      <c r="B847" s="58"/>
      <c r="C847" s="58"/>
      <c r="D847" s="58"/>
      <c r="E847" s="58"/>
      <c r="F847" s="58"/>
      <c r="G847" s="58"/>
      <c r="H847" s="58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8"/>
      <c r="U847" s="58"/>
      <c r="V847" s="58"/>
      <c r="W847" s="58"/>
      <c r="X847" s="58"/>
      <c r="Y847" s="58"/>
      <c r="Z847" s="58"/>
    </row>
    <row r="848" spans="1:26">
      <c r="A848" s="58"/>
      <c r="B848" s="58"/>
      <c r="C848" s="58"/>
      <c r="D848" s="58"/>
      <c r="E848" s="58"/>
      <c r="F848" s="58"/>
      <c r="G848" s="58"/>
      <c r="H848" s="58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8"/>
      <c r="U848" s="58"/>
      <c r="V848" s="58"/>
      <c r="W848" s="58"/>
      <c r="X848" s="58"/>
      <c r="Y848" s="58"/>
      <c r="Z848" s="58"/>
    </row>
    <row r="849" spans="1:26">
      <c r="A849" s="58"/>
      <c r="B849" s="58"/>
      <c r="C849" s="58"/>
      <c r="D849" s="58"/>
      <c r="E849" s="58"/>
      <c r="F849" s="58"/>
      <c r="G849" s="58"/>
      <c r="H849" s="58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8"/>
      <c r="U849" s="58"/>
      <c r="V849" s="58"/>
      <c r="W849" s="58"/>
      <c r="X849" s="58"/>
      <c r="Y849" s="58"/>
      <c r="Z849" s="58"/>
    </row>
    <row r="850" spans="1:26">
      <c r="A850" s="58"/>
      <c r="B850" s="58"/>
      <c r="C850" s="58"/>
      <c r="D850" s="58"/>
      <c r="E850" s="58"/>
      <c r="F850" s="58"/>
      <c r="G850" s="58"/>
      <c r="H850" s="58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8"/>
      <c r="U850" s="58"/>
      <c r="V850" s="58"/>
      <c r="W850" s="58"/>
      <c r="X850" s="58"/>
      <c r="Y850" s="58"/>
      <c r="Z850" s="58"/>
    </row>
    <row r="851" spans="1:26">
      <c r="A851" s="58"/>
      <c r="B851" s="58"/>
      <c r="C851" s="58"/>
      <c r="D851" s="58"/>
      <c r="E851" s="58"/>
      <c r="F851" s="58"/>
      <c r="G851" s="58"/>
      <c r="H851" s="58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8"/>
      <c r="U851" s="58"/>
      <c r="V851" s="58"/>
      <c r="W851" s="58"/>
      <c r="X851" s="58"/>
      <c r="Y851" s="58"/>
      <c r="Z851" s="58"/>
    </row>
    <row r="852" spans="1:26">
      <c r="A852" s="58"/>
      <c r="B852" s="58"/>
      <c r="C852" s="58"/>
      <c r="D852" s="58"/>
      <c r="E852" s="58"/>
      <c r="F852" s="58"/>
      <c r="G852" s="58"/>
      <c r="H852" s="58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8"/>
      <c r="U852" s="58"/>
      <c r="V852" s="58"/>
      <c r="W852" s="58"/>
      <c r="X852" s="58"/>
      <c r="Y852" s="58"/>
      <c r="Z852" s="58"/>
    </row>
    <row r="853" spans="1:26">
      <c r="A853" s="58"/>
      <c r="B853" s="58"/>
      <c r="C853" s="58"/>
      <c r="D853" s="58"/>
      <c r="E853" s="58"/>
      <c r="F853" s="58"/>
      <c r="G853" s="58"/>
      <c r="H853" s="58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8"/>
      <c r="U853" s="58"/>
      <c r="V853" s="58"/>
      <c r="W853" s="58"/>
      <c r="X853" s="58"/>
      <c r="Y853" s="58"/>
      <c r="Z853" s="58"/>
    </row>
    <row r="854" spans="1:26">
      <c r="A854" s="58"/>
      <c r="B854" s="58"/>
      <c r="C854" s="58"/>
      <c r="D854" s="58"/>
      <c r="E854" s="58"/>
      <c r="F854" s="58"/>
      <c r="G854" s="58"/>
      <c r="H854" s="58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8"/>
      <c r="U854" s="58"/>
      <c r="V854" s="58"/>
      <c r="W854" s="58"/>
      <c r="X854" s="58"/>
      <c r="Y854" s="58"/>
      <c r="Z854" s="58"/>
    </row>
    <row r="855" spans="1:26">
      <c r="A855" s="58"/>
      <c r="B855" s="58"/>
      <c r="C855" s="58"/>
      <c r="D855" s="58"/>
      <c r="E855" s="58"/>
      <c r="F855" s="58"/>
      <c r="G855" s="58"/>
      <c r="H855" s="58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8"/>
      <c r="U855" s="58"/>
      <c r="V855" s="58"/>
      <c r="W855" s="58"/>
      <c r="X855" s="58"/>
      <c r="Y855" s="58"/>
      <c r="Z855" s="58"/>
    </row>
    <row r="856" spans="1:26">
      <c r="A856" s="58"/>
      <c r="B856" s="58"/>
      <c r="C856" s="58"/>
      <c r="D856" s="58"/>
      <c r="E856" s="58"/>
      <c r="F856" s="58"/>
      <c r="G856" s="58"/>
      <c r="H856" s="58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8"/>
      <c r="U856" s="58"/>
      <c r="V856" s="58"/>
      <c r="W856" s="58"/>
      <c r="X856" s="58"/>
      <c r="Y856" s="58"/>
      <c r="Z856" s="58"/>
    </row>
    <row r="857" spans="1:26">
      <c r="A857" s="58"/>
      <c r="B857" s="58"/>
      <c r="C857" s="58"/>
      <c r="D857" s="58"/>
      <c r="E857" s="58"/>
      <c r="F857" s="58"/>
      <c r="G857" s="58"/>
      <c r="H857" s="58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8"/>
      <c r="U857" s="58"/>
      <c r="V857" s="58"/>
      <c r="W857" s="58"/>
      <c r="X857" s="58"/>
      <c r="Y857" s="58"/>
      <c r="Z857" s="58"/>
    </row>
    <row r="858" spans="1:26">
      <c r="A858" s="58"/>
      <c r="B858" s="58"/>
      <c r="C858" s="58"/>
      <c r="D858" s="58"/>
      <c r="E858" s="58"/>
      <c r="F858" s="58"/>
      <c r="G858" s="58"/>
      <c r="H858" s="58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8"/>
      <c r="U858" s="58"/>
      <c r="V858" s="58"/>
      <c r="W858" s="58"/>
      <c r="X858" s="58"/>
      <c r="Y858" s="58"/>
      <c r="Z858" s="58"/>
    </row>
    <row r="859" spans="1:26">
      <c r="A859" s="58"/>
      <c r="B859" s="58"/>
      <c r="C859" s="58"/>
      <c r="D859" s="58"/>
      <c r="E859" s="58"/>
      <c r="F859" s="58"/>
      <c r="G859" s="58"/>
      <c r="H859" s="58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8"/>
      <c r="U859" s="58"/>
      <c r="V859" s="58"/>
      <c r="W859" s="58"/>
      <c r="X859" s="58"/>
      <c r="Y859" s="58"/>
      <c r="Z859" s="58"/>
    </row>
    <row r="860" spans="1:26">
      <c r="A860" s="58"/>
      <c r="B860" s="58"/>
      <c r="C860" s="58"/>
      <c r="D860" s="58"/>
      <c r="E860" s="58"/>
      <c r="F860" s="58"/>
      <c r="G860" s="58"/>
      <c r="H860" s="58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8"/>
      <c r="U860" s="58"/>
      <c r="V860" s="58"/>
      <c r="W860" s="58"/>
      <c r="X860" s="58"/>
      <c r="Y860" s="58"/>
      <c r="Z860" s="58"/>
    </row>
    <row r="861" spans="1:26">
      <c r="A861" s="58"/>
      <c r="B861" s="58"/>
      <c r="C861" s="58"/>
      <c r="D861" s="58"/>
      <c r="E861" s="58"/>
      <c r="F861" s="58"/>
      <c r="G861" s="58"/>
      <c r="H861" s="58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8"/>
      <c r="U861" s="58"/>
      <c r="V861" s="58"/>
      <c r="W861" s="58"/>
      <c r="X861" s="58"/>
      <c r="Y861" s="58"/>
      <c r="Z861" s="58"/>
    </row>
    <row r="862" spans="1:26">
      <c r="A862" s="58"/>
      <c r="B862" s="58"/>
      <c r="C862" s="58"/>
      <c r="D862" s="58"/>
      <c r="E862" s="58"/>
      <c r="F862" s="58"/>
      <c r="G862" s="58"/>
      <c r="H862" s="58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8"/>
      <c r="U862" s="58"/>
      <c r="V862" s="58"/>
      <c r="W862" s="58"/>
      <c r="X862" s="58"/>
      <c r="Y862" s="58"/>
      <c r="Z862" s="58"/>
    </row>
    <row r="863" spans="1:26">
      <c r="A863" s="58"/>
      <c r="B863" s="58"/>
      <c r="C863" s="58"/>
      <c r="D863" s="58"/>
      <c r="E863" s="58"/>
      <c r="F863" s="58"/>
      <c r="G863" s="58"/>
      <c r="H863" s="58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8"/>
      <c r="U863" s="58"/>
      <c r="V863" s="58"/>
      <c r="W863" s="58"/>
      <c r="X863" s="58"/>
      <c r="Y863" s="58"/>
      <c r="Z863" s="58"/>
    </row>
    <row r="864" spans="1:26">
      <c r="A864" s="58"/>
      <c r="B864" s="58"/>
      <c r="C864" s="58"/>
      <c r="D864" s="58"/>
      <c r="E864" s="58"/>
      <c r="F864" s="58"/>
      <c r="G864" s="58"/>
      <c r="H864" s="58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8"/>
      <c r="U864" s="58"/>
      <c r="V864" s="58"/>
      <c r="W864" s="58"/>
      <c r="X864" s="58"/>
      <c r="Y864" s="58"/>
      <c r="Z864" s="58"/>
    </row>
    <row r="865" spans="1:26">
      <c r="A865" s="58"/>
      <c r="B865" s="58"/>
      <c r="C865" s="58"/>
      <c r="D865" s="58"/>
      <c r="E865" s="58"/>
      <c r="F865" s="58"/>
      <c r="G865" s="58"/>
      <c r="H865" s="58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8"/>
      <c r="U865" s="58"/>
      <c r="V865" s="58"/>
      <c r="W865" s="58"/>
      <c r="X865" s="58"/>
      <c r="Y865" s="58"/>
      <c r="Z865" s="58"/>
    </row>
    <row r="866" spans="1:26">
      <c r="A866" s="58"/>
      <c r="B866" s="58"/>
      <c r="C866" s="58"/>
      <c r="D866" s="58"/>
      <c r="E866" s="58"/>
      <c r="F866" s="58"/>
      <c r="G866" s="58"/>
      <c r="H866" s="58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8"/>
      <c r="U866" s="58"/>
      <c r="V866" s="58"/>
      <c r="W866" s="58"/>
      <c r="X866" s="58"/>
      <c r="Y866" s="58"/>
      <c r="Z866" s="58"/>
    </row>
    <row r="867" spans="1:26">
      <c r="A867" s="58"/>
      <c r="B867" s="58"/>
      <c r="C867" s="58"/>
      <c r="D867" s="58"/>
      <c r="E867" s="58"/>
      <c r="F867" s="58"/>
      <c r="G867" s="58"/>
      <c r="H867" s="58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8"/>
      <c r="U867" s="58"/>
      <c r="V867" s="58"/>
      <c r="W867" s="58"/>
      <c r="X867" s="58"/>
      <c r="Y867" s="58"/>
      <c r="Z867" s="58"/>
    </row>
    <row r="868" spans="1:26">
      <c r="A868" s="58"/>
      <c r="B868" s="58"/>
      <c r="C868" s="58"/>
      <c r="D868" s="58"/>
      <c r="E868" s="58"/>
      <c r="F868" s="58"/>
      <c r="G868" s="58"/>
      <c r="H868" s="58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8"/>
      <c r="U868" s="58"/>
      <c r="V868" s="58"/>
      <c r="W868" s="58"/>
      <c r="X868" s="58"/>
      <c r="Y868" s="58"/>
      <c r="Z868" s="58"/>
    </row>
    <row r="869" spans="1:26">
      <c r="A869" s="58"/>
      <c r="B869" s="58"/>
      <c r="C869" s="58"/>
      <c r="D869" s="58"/>
      <c r="E869" s="58"/>
      <c r="F869" s="58"/>
      <c r="G869" s="58"/>
      <c r="H869" s="58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8"/>
      <c r="U869" s="58"/>
      <c r="V869" s="58"/>
      <c r="W869" s="58"/>
      <c r="X869" s="58"/>
      <c r="Y869" s="58"/>
      <c r="Z869" s="58"/>
    </row>
    <row r="870" spans="1:26">
      <c r="A870" s="58"/>
      <c r="B870" s="58"/>
      <c r="C870" s="58"/>
      <c r="D870" s="58"/>
      <c r="E870" s="58"/>
      <c r="F870" s="58"/>
      <c r="G870" s="58"/>
      <c r="H870" s="58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8"/>
      <c r="U870" s="58"/>
      <c r="V870" s="58"/>
      <c r="W870" s="58"/>
      <c r="X870" s="58"/>
      <c r="Y870" s="58"/>
      <c r="Z870" s="58"/>
    </row>
    <row r="871" spans="1:26">
      <c r="A871" s="58"/>
      <c r="B871" s="58"/>
      <c r="C871" s="58"/>
      <c r="D871" s="58"/>
      <c r="E871" s="58"/>
      <c r="F871" s="58"/>
      <c r="G871" s="58"/>
      <c r="H871" s="58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8"/>
      <c r="U871" s="58"/>
      <c r="V871" s="58"/>
      <c r="W871" s="58"/>
      <c r="X871" s="58"/>
      <c r="Y871" s="58"/>
      <c r="Z871" s="58"/>
    </row>
    <row r="872" spans="1:26">
      <c r="A872" s="58"/>
      <c r="B872" s="58"/>
      <c r="C872" s="58"/>
      <c r="D872" s="58"/>
      <c r="E872" s="58"/>
      <c r="F872" s="58"/>
      <c r="G872" s="58"/>
      <c r="H872" s="58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8"/>
      <c r="U872" s="58"/>
      <c r="V872" s="58"/>
      <c r="W872" s="58"/>
      <c r="X872" s="58"/>
      <c r="Y872" s="58"/>
      <c r="Z872" s="58"/>
    </row>
    <row r="873" spans="1:26">
      <c r="A873" s="58"/>
      <c r="B873" s="58"/>
      <c r="C873" s="58"/>
      <c r="D873" s="58"/>
      <c r="E873" s="58"/>
      <c r="F873" s="58"/>
      <c r="G873" s="58"/>
      <c r="H873" s="58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8"/>
      <c r="U873" s="58"/>
      <c r="V873" s="58"/>
      <c r="W873" s="58"/>
      <c r="X873" s="58"/>
      <c r="Y873" s="58"/>
      <c r="Z873" s="58"/>
    </row>
    <row r="874" spans="1:26">
      <c r="A874" s="58"/>
      <c r="B874" s="58"/>
      <c r="C874" s="58"/>
      <c r="D874" s="58"/>
      <c r="E874" s="58"/>
      <c r="F874" s="58"/>
      <c r="G874" s="58"/>
      <c r="H874" s="58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8"/>
      <c r="U874" s="58"/>
      <c r="V874" s="58"/>
      <c r="W874" s="58"/>
      <c r="X874" s="58"/>
      <c r="Y874" s="58"/>
      <c r="Z874" s="58"/>
    </row>
    <row r="875" spans="1:26">
      <c r="A875" s="58"/>
      <c r="B875" s="58"/>
      <c r="C875" s="58"/>
      <c r="D875" s="58"/>
      <c r="E875" s="58"/>
      <c r="F875" s="58"/>
      <c r="G875" s="58"/>
      <c r="H875" s="58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8"/>
      <c r="U875" s="58"/>
      <c r="V875" s="58"/>
      <c r="W875" s="58"/>
      <c r="X875" s="58"/>
      <c r="Y875" s="58"/>
      <c r="Z875" s="58"/>
    </row>
    <row r="876" spans="1:26">
      <c r="A876" s="58"/>
      <c r="B876" s="58"/>
      <c r="C876" s="58"/>
      <c r="D876" s="58"/>
      <c r="E876" s="58"/>
      <c r="F876" s="58"/>
      <c r="G876" s="58"/>
      <c r="H876" s="58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8"/>
      <c r="U876" s="58"/>
      <c r="V876" s="58"/>
      <c r="W876" s="58"/>
      <c r="X876" s="58"/>
      <c r="Y876" s="58"/>
      <c r="Z876" s="58"/>
    </row>
    <row r="877" spans="1:26">
      <c r="A877" s="58"/>
      <c r="B877" s="58"/>
      <c r="C877" s="58"/>
      <c r="D877" s="58"/>
      <c r="E877" s="58"/>
      <c r="F877" s="58"/>
      <c r="G877" s="58"/>
      <c r="H877" s="58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8"/>
      <c r="U877" s="58"/>
      <c r="V877" s="58"/>
      <c r="W877" s="58"/>
      <c r="X877" s="58"/>
      <c r="Y877" s="58"/>
      <c r="Z877" s="58"/>
    </row>
    <row r="878" spans="1:26">
      <c r="A878" s="58"/>
      <c r="B878" s="58"/>
      <c r="C878" s="58"/>
      <c r="D878" s="58"/>
      <c r="E878" s="58"/>
      <c r="F878" s="58"/>
      <c r="G878" s="58"/>
      <c r="H878" s="58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8"/>
      <c r="U878" s="58"/>
      <c r="V878" s="58"/>
      <c r="W878" s="58"/>
      <c r="X878" s="58"/>
      <c r="Y878" s="58"/>
      <c r="Z878" s="58"/>
    </row>
    <row r="879" spans="1:26">
      <c r="A879" s="58"/>
      <c r="B879" s="58"/>
      <c r="C879" s="58"/>
      <c r="D879" s="58"/>
      <c r="E879" s="58"/>
      <c r="F879" s="58"/>
      <c r="G879" s="58"/>
      <c r="H879" s="58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8"/>
      <c r="U879" s="58"/>
      <c r="V879" s="58"/>
      <c r="W879" s="58"/>
      <c r="X879" s="58"/>
      <c r="Y879" s="58"/>
      <c r="Z879" s="58"/>
    </row>
    <row r="880" spans="1:26">
      <c r="A880" s="58"/>
      <c r="B880" s="58"/>
      <c r="C880" s="58"/>
      <c r="D880" s="58"/>
      <c r="E880" s="58"/>
      <c r="F880" s="58"/>
      <c r="G880" s="58"/>
      <c r="H880" s="58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8"/>
      <c r="U880" s="58"/>
      <c r="V880" s="58"/>
      <c r="W880" s="58"/>
      <c r="X880" s="58"/>
      <c r="Y880" s="58"/>
      <c r="Z880" s="58"/>
    </row>
    <row r="881" spans="1:26">
      <c r="A881" s="58"/>
      <c r="B881" s="58"/>
      <c r="C881" s="58"/>
      <c r="D881" s="58"/>
      <c r="E881" s="58"/>
      <c r="F881" s="58"/>
      <c r="G881" s="58"/>
      <c r="H881" s="58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8"/>
      <c r="U881" s="58"/>
      <c r="V881" s="58"/>
      <c r="W881" s="58"/>
      <c r="X881" s="58"/>
      <c r="Y881" s="58"/>
      <c r="Z881" s="58"/>
    </row>
    <row r="882" spans="1:26">
      <c r="A882" s="58"/>
      <c r="B882" s="58"/>
      <c r="C882" s="58"/>
      <c r="D882" s="58"/>
      <c r="E882" s="58"/>
      <c r="F882" s="58"/>
      <c r="G882" s="58"/>
      <c r="H882" s="58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8"/>
      <c r="U882" s="58"/>
      <c r="V882" s="58"/>
      <c r="W882" s="58"/>
      <c r="X882" s="58"/>
      <c r="Y882" s="58"/>
      <c r="Z882" s="58"/>
    </row>
    <row r="883" spans="1:26">
      <c r="A883" s="58"/>
      <c r="B883" s="58"/>
      <c r="C883" s="58"/>
      <c r="D883" s="58"/>
      <c r="E883" s="58"/>
      <c r="F883" s="58"/>
      <c r="G883" s="58"/>
      <c r="H883" s="58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8"/>
      <c r="U883" s="58"/>
      <c r="V883" s="58"/>
      <c r="W883" s="58"/>
      <c r="X883" s="58"/>
      <c r="Y883" s="58"/>
      <c r="Z883" s="58"/>
    </row>
    <row r="884" spans="1:26">
      <c r="A884" s="58"/>
      <c r="B884" s="58"/>
      <c r="C884" s="58"/>
      <c r="D884" s="58"/>
      <c r="E884" s="58"/>
      <c r="F884" s="58"/>
      <c r="G884" s="58"/>
      <c r="H884" s="58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8"/>
      <c r="U884" s="58"/>
      <c r="V884" s="58"/>
      <c r="W884" s="58"/>
      <c r="X884" s="58"/>
      <c r="Y884" s="58"/>
      <c r="Z884" s="58"/>
    </row>
    <row r="885" spans="1:26">
      <c r="A885" s="58"/>
      <c r="B885" s="58"/>
      <c r="C885" s="58"/>
      <c r="D885" s="58"/>
      <c r="E885" s="58"/>
      <c r="F885" s="58"/>
      <c r="G885" s="58"/>
      <c r="H885" s="58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8"/>
      <c r="U885" s="58"/>
      <c r="V885" s="58"/>
      <c r="W885" s="58"/>
      <c r="X885" s="58"/>
      <c r="Y885" s="58"/>
      <c r="Z885" s="58"/>
    </row>
    <row r="886" spans="1:26">
      <c r="A886" s="58"/>
      <c r="B886" s="58"/>
      <c r="C886" s="58"/>
      <c r="D886" s="58"/>
      <c r="E886" s="58"/>
      <c r="F886" s="58"/>
      <c r="G886" s="58"/>
      <c r="H886" s="58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8"/>
      <c r="U886" s="58"/>
      <c r="V886" s="58"/>
      <c r="W886" s="58"/>
      <c r="X886" s="58"/>
      <c r="Y886" s="58"/>
      <c r="Z886" s="58"/>
    </row>
    <row r="887" spans="1:26">
      <c r="A887" s="58"/>
      <c r="B887" s="58"/>
      <c r="C887" s="58"/>
      <c r="D887" s="58"/>
      <c r="E887" s="58"/>
      <c r="F887" s="58"/>
      <c r="G887" s="58"/>
      <c r="H887" s="58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8"/>
      <c r="U887" s="58"/>
      <c r="V887" s="58"/>
      <c r="W887" s="58"/>
      <c r="X887" s="58"/>
      <c r="Y887" s="58"/>
      <c r="Z887" s="58"/>
    </row>
    <row r="888" spans="1:26">
      <c r="A888" s="58"/>
      <c r="B888" s="58"/>
      <c r="C888" s="58"/>
      <c r="D888" s="58"/>
      <c r="E888" s="58"/>
      <c r="F888" s="58"/>
      <c r="G888" s="58"/>
      <c r="H888" s="58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8"/>
      <c r="U888" s="58"/>
      <c r="V888" s="58"/>
      <c r="W888" s="58"/>
      <c r="X888" s="58"/>
      <c r="Y888" s="58"/>
      <c r="Z888" s="58"/>
    </row>
    <row r="889" spans="1:26">
      <c r="A889" s="58"/>
      <c r="B889" s="58"/>
      <c r="C889" s="58"/>
      <c r="D889" s="58"/>
      <c r="E889" s="58"/>
      <c r="F889" s="58"/>
      <c r="G889" s="58"/>
      <c r="H889" s="58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8"/>
      <c r="U889" s="58"/>
      <c r="V889" s="58"/>
      <c r="W889" s="58"/>
      <c r="X889" s="58"/>
      <c r="Y889" s="58"/>
      <c r="Z889" s="58"/>
    </row>
    <row r="890" spans="1:26">
      <c r="A890" s="58"/>
      <c r="B890" s="58"/>
      <c r="C890" s="58"/>
      <c r="D890" s="58"/>
      <c r="E890" s="58"/>
      <c r="F890" s="58"/>
      <c r="G890" s="58"/>
      <c r="H890" s="58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8"/>
      <c r="U890" s="58"/>
      <c r="V890" s="58"/>
      <c r="W890" s="58"/>
      <c r="X890" s="58"/>
      <c r="Y890" s="58"/>
      <c r="Z890" s="58"/>
    </row>
    <row r="891" spans="1:26">
      <c r="A891" s="58"/>
      <c r="B891" s="58"/>
      <c r="C891" s="58"/>
      <c r="D891" s="58"/>
      <c r="E891" s="58"/>
      <c r="F891" s="58"/>
      <c r="G891" s="58"/>
      <c r="H891" s="58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8"/>
      <c r="U891" s="58"/>
      <c r="V891" s="58"/>
      <c r="W891" s="58"/>
      <c r="X891" s="58"/>
      <c r="Y891" s="58"/>
      <c r="Z891" s="58"/>
    </row>
    <row r="892" spans="1:26">
      <c r="A892" s="58"/>
      <c r="B892" s="58"/>
      <c r="C892" s="58"/>
      <c r="D892" s="58"/>
      <c r="E892" s="58"/>
      <c r="F892" s="58"/>
      <c r="G892" s="58"/>
      <c r="H892" s="58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8"/>
      <c r="U892" s="58"/>
      <c r="V892" s="58"/>
      <c r="W892" s="58"/>
      <c r="X892" s="58"/>
      <c r="Y892" s="58"/>
      <c r="Z892" s="58"/>
    </row>
    <row r="893" spans="1:26">
      <c r="A893" s="58"/>
      <c r="B893" s="58"/>
      <c r="C893" s="58"/>
      <c r="D893" s="58"/>
      <c r="E893" s="58"/>
      <c r="F893" s="58"/>
      <c r="G893" s="58"/>
      <c r="H893" s="58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8"/>
      <c r="U893" s="58"/>
      <c r="V893" s="58"/>
      <c r="W893" s="58"/>
      <c r="X893" s="58"/>
      <c r="Y893" s="58"/>
      <c r="Z893" s="58"/>
    </row>
    <row r="894" spans="1:26">
      <c r="A894" s="58"/>
      <c r="B894" s="58"/>
      <c r="C894" s="58"/>
      <c r="D894" s="58"/>
      <c r="E894" s="58"/>
      <c r="F894" s="58"/>
      <c r="G894" s="58"/>
      <c r="H894" s="58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8"/>
      <c r="U894" s="58"/>
      <c r="V894" s="58"/>
      <c r="W894" s="58"/>
      <c r="X894" s="58"/>
      <c r="Y894" s="58"/>
      <c r="Z894" s="58"/>
    </row>
    <row r="895" spans="1:26">
      <c r="A895" s="58"/>
      <c r="B895" s="58"/>
      <c r="C895" s="58"/>
      <c r="D895" s="58"/>
      <c r="E895" s="58"/>
      <c r="F895" s="58"/>
      <c r="G895" s="58"/>
      <c r="H895" s="58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8"/>
      <c r="U895" s="58"/>
      <c r="V895" s="58"/>
      <c r="W895" s="58"/>
      <c r="X895" s="58"/>
      <c r="Y895" s="58"/>
      <c r="Z895" s="58"/>
    </row>
    <row r="896" spans="1:26">
      <c r="A896" s="58"/>
      <c r="B896" s="58"/>
      <c r="C896" s="58"/>
      <c r="D896" s="58"/>
      <c r="E896" s="58"/>
      <c r="F896" s="58"/>
      <c r="G896" s="58"/>
      <c r="H896" s="58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8"/>
      <c r="U896" s="58"/>
      <c r="V896" s="58"/>
      <c r="W896" s="58"/>
      <c r="X896" s="58"/>
      <c r="Y896" s="58"/>
      <c r="Z896" s="58"/>
    </row>
    <row r="897" spans="1:26">
      <c r="A897" s="58"/>
      <c r="B897" s="58"/>
      <c r="C897" s="58"/>
      <c r="D897" s="58"/>
      <c r="E897" s="58"/>
      <c r="F897" s="58"/>
      <c r="G897" s="58"/>
      <c r="H897" s="58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8"/>
      <c r="U897" s="58"/>
      <c r="V897" s="58"/>
      <c r="W897" s="58"/>
      <c r="X897" s="58"/>
      <c r="Y897" s="58"/>
      <c r="Z897" s="58"/>
    </row>
    <row r="898" spans="1:26">
      <c r="A898" s="58"/>
      <c r="B898" s="58"/>
      <c r="C898" s="58"/>
      <c r="D898" s="58"/>
      <c r="E898" s="58"/>
      <c r="F898" s="58"/>
      <c r="G898" s="58"/>
      <c r="H898" s="58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8"/>
      <c r="U898" s="58"/>
      <c r="V898" s="58"/>
      <c r="W898" s="58"/>
      <c r="X898" s="58"/>
      <c r="Y898" s="58"/>
      <c r="Z898" s="58"/>
    </row>
    <row r="899" spans="1:26">
      <c r="A899" s="58"/>
      <c r="B899" s="58"/>
      <c r="C899" s="58"/>
      <c r="D899" s="58"/>
      <c r="E899" s="58"/>
      <c r="F899" s="58"/>
      <c r="G899" s="58"/>
      <c r="H899" s="58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8"/>
      <c r="U899" s="58"/>
      <c r="V899" s="58"/>
      <c r="W899" s="58"/>
      <c r="X899" s="58"/>
      <c r="Y899" s="58"/>
      <c r="Z899" s="58"/>
    </row>
    <row r="900" spans="1:26">
      <c r="A900" s="58"/>
      <c r="B900" s="58"/>
      <c r="C900" s="58"/>
      <c r="D900" s="58"/>
      <c r="E900" s="58"/>
      <c r="F900" s="58"/>
      <c r="G900" s="58"/>
      <c r="H900" s="58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8"/>
      <c r="U900" s="58"/>
      <c r="V900" s="58"/>
      <c r="W900" s="58"/>
      <c r="X900" s="58"/>
      <c r="Y900" s="58"/>
      <c r="Z900" s="58"/>
    </row>
    <row r="901" spans="1:26">
      <c r="A901" s="58"/>
      <c r="B901" s="58"/>
      <c r="C901" s="58"/>
      <c r="D901" s="58"/>
      <c r="E901" s="58"/>
      <c r="F901" s="58"/>
      <c r="G901" s="58"/>
      <c r="H901" s="58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8"/>
      <c r="U901" s="58"/>
      <c r="V901" s="58"/>
      <c r="W901" s="58"/>
      <c r="X901" s="58"/>
      <c r="Y901" s="58"/>
      <c r="Z901" s="58"/>
    </row>
    <row r="902" spans="1:26">
      <c r="A902" s="58"/>
      <c r="B902" s="58"/>
      <c r="C902" s="58"/>
      <c r="D902" s="58"/>
      <c r="E902" s="58"/>
      <c r="F902" s="58"/>
      <c r="G902" s="58"/>
      <c r="H902" s="58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8"/>
      <c r="U902" s="58"/>
      <c r="V902" s="58"/>
      <c r="W902" s="58"/>
      <c r="X902" s="58"/>
      <c r="Y902" s="58"/>
      <c r="Z902" s="58"/>
    </row>
    <row r="903" spans="1:26">
      <c r="A903" s="58"/>
      <c r="B903" s="58"/>
      <c r="C903" s="58"/>
      <c r="D903" s="58"/>
      <c r="E903" s="58"/>
      <c r="F903" s="58"/>
      <c r="G903" s="58"/>
      <c r="H903" s="58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8"/>
      <c r="U903" s="58"/>
      <c r="V903" s="58"/>
      <c r="W903" s="58"/>
      <c r="X903" s="58"/>
      <c r="Y903" s="58"/>
      <c r="Z903" s="58"/>
    </row>
    <row r="904" spans="1:26">
      <c r="A904" s="58"/>
      <c r="B904" s="58"/>
      <c r="C904" s="58"/>
      <c r="D904" s="58"/>
      <c r="E904" s="58"/>
      <c r="F904" s="58"/>
      <c r="G904" s="58"/>
      <c r="H904" s="58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8"/>
      <c r="U904" s="58"/>
      <c r="V904" s="58"/>
      <c r="W904" s="58"/>
      <c r="X904" s="58"/>
      <c r="Y904" s="58"/>
      <c r="Z904" s="58"/>
    </row>
    <row r="905" spans="1:26">
      <c r="A905" s="58"/>
      <c r="B905" s="58"/>
      <c r="C905" s="58"/>
      <c r="D905" s="58"/>
      <c r="E905" s="58"/>
      <c r="F905" s="58"/>
      <c r="G905" s="58"/>
      <c r="H905" s="58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8"/>
      <c r="U905" s="58"/>
      <c r="V905" s="58"/>
      <c r="W905" s="58"/>
      <c r="X905" s="58"/>
      <c r="Y905" s="58"/>
      <c r="Z905" s="58"/>
    </row>
    <row r="906" spans="1:26">
      <c r="A906" s="58"/>
      <c r="B906" s="58"/>
      <c r="C906" s="58"/>
      <c r="D906" s="58"/>
      <c r="E906" s="58"/>
      <c r="F906" s="58"/>
      <c r="G906" s="58"/>
      <c r="H906" s="58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8"/>
      <c r="U906" s="58"/>
      <c r="V906" s="58"/>
      <c r="W906" s="58"/>
      <c r="X906" s="58"/>
      <c r="Y906" s="58"/>
      <c r="Z906" s="58"/>
    </row>
    <row r="907" spans="1:26">
      <c r="A907" s="58"/>
      <c r="B907" s="58"/>
      <c r="C907" s="58"/>
      <c r="D907" s="58"/>
      <c r="E907" s="58"/>
      <c r="F907" s="58"/>
      <c r="G907" s="58"/>
      <c r="H907" s="58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8"/>
      <c r="U907" s="58"/>
      <c r="V907" s="58"/>
      <c r="W907" s="58"/>
      <c r="X907" s="58"/>
      <c r="Y907" s="58"/>
      <c r="Z907" s="58"/>
    </row>
    <row r="908" spans="1:26">
      <c r="A908" s="58"/>
      <c r="B908" s="58"/>
      <c r="C908" s="58"/>
      <c r="D908" s="58"/>
      <c r="E908" s="58"/>
      <c r="F908" s="58"/>
      <c r="G908" s="58"/>
      <c r="H908" s="58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8"/>
      <c r="U908" s="58"/>
      <c r="V908" s="58"/>
      <c r="W908" s="58"/>
      <c r="X908" s="58"/>
      <c r="Y908" s="58"/>
      <c r="Z908" s="58"/>
    </row>
    <row r="909" spans="1:26">
      <c r="A909" s="58"/>
      <c r="B909" s="58"/>
      <c r="C909" s="58"/>
      <c r="D909" s="58"/>
      <c r="E909" s="58"/>
      <c r="F909" s="58"/>
      <c r="G909" s="58"/>
      <c r="H909" s="58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8"/>
      <c r="U909" s="58"/>
      <c r="V909" s="58"/>
      <c r="W909" s="58"/>
      <c r="X909" s="58"/>
      <c r="Y909" s="58"/>
      <c r="Z909" s="58"/>
    </row>
    <row r="910" spans="1:26">
      <c r="A910" s="58"/>
      <c r="B910" s="58"/>
      <c r="C910" s="58"/>
      <c r="D910" s="58"/>
      <c r="E910" s="58"/>
      <c r="F910" s="58"/>
      <c r="G910" s="58"/>
      <c r="H910" s="58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8"/>
      <c r="U910" s="58"/>
      <c r="V910" s="58"/>
      <c r="W910" s="58"/>
      <c r="X910" s="58"/>
      <c r="Y910" s="58"/>
      <c r="Z910" s="58"/>
    </row>
    <row r="911" spans="1:26">
      <c r="A911" s="58"/>
      <c r="B911" s="58"/>
      <c r="C911" s="58"/>
      <c r="D911" s="58"/>
      <c r="E911" s="58"/>
      <c r="F911" s="58"/>
      <c r="G911" s="58"/>
      <c r="H911" s="58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8"/>
      <c r="U911" s="58"/>
      <c r="V911" s="58"/>
      <c r="W911" s="58"/>
      <c r="X911" s="58"/>
      <c r="Y911" s="58"/>
      <c r="Z911" s="58"/>
    </row>
    <row r="912" spans="1:26">
      <c r="A912" s="58"/>
      <c r="B912" s="58"/>
      <c r="C912" s="58"/>
      <c r="D912" s="58"/>
      <c r="E912" s="58"/>
      <c r="F912" s="58"/>
      <c r="G912" s="58"/>
      <c r="H912" s="58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8"/>
      <c r="U912" s="58"/>
      <c r="V912" s="58"/>
      <c r="W912" s="58"/>
      <c r="X912" s="58"/>
      <c r="Y912" s="58"/>
      <c r="Z912" s="58"/>
    </row>
    <row r="913" spans="1:26">
      <c r="A913" s="58"/>
      <c r="B913" s="58"/>
      <c r="C913" s="58"/>
      <c r="D913" s="58"/>
      <c r="E913" s="58"/>
      <c r="F913" s="58"/>
      <c r="G913" s="58"/>
      <c r="H913" s="58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8"/>
      <c r="U913" s="58"/>
      <c r="V913" s="58"/>
      <c r="W913" s="58"/>
      <c r="X913" s="58"/>
      <c r="Y913" s="58"/>
      <c r="Z913" s="58"/>
    </row>
    <row r="914" spans="1:26">
      <c r="A914" s="58"/>
      <c r="B914" s="58"/>
      <c r="C914" s="58"/>
      <c r="D914" s="58"/>
      <c r="E914" s="58"/>
      <c r="F914" s="58"/>
      <c r="G914" s="58"/>
      <c r="H914" s="58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8"/>
      <c r="U914" s="58"/>
      <c r="V914" s="58"/>
      <c r="W914" s="58"/>
      <c r="X914" s="58"/>
      <c r="Y914" s="58"/>
      <c r="Z914" s="58"/>
    </row>
    <row r="915" spans="1:26">
      <c r="A915" s="58"/>
      <c r="B915" s="58"/>
      <c r="C915" s="58"/>
      <c r="D915" s="58"/>
      <c r="E915" s="58"/>
      <c r="F915" s="58"/>
      <c r="G915" s="58"/>
      <c r="H915" s="58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8"/>
      <c r="U915" s="58"/>
      <c r="V915" s="58"/>
      <c r="W915" s="58"/>
      <c r="X915" s="58"/>
      <c r="Y915" s="58"/>
      <c r="Z915" s="58"/>
    </row>
    <row r="916" spans="1:26">
      <c r="A916" s="58"/>
      <c r="B916" s="58"/>
      <c r="C916" s="58"/>
      <c r="D916" s="58"/>
      <c r="E916" s="58"/>
      <c r="F916" s="58"/>
      <c r="G916" s="58"/>
      <c r="H916" s="58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8"/>
      <c r="U916" s="58"/>
      <c r="V916" s="58"/>
      <c r="W916" s="58"/>
      <c r="X916" s="58"/>
      <c r="Y916" s="58"/>
      <c r="Z916" s="58"/>
    </row>
    <row r="917" spans="1:26">
      <c r="A917" s="58"/>
      <c r="B917" s="58"/>
      <c r="C917" s="58"/>
      <c r="D917" s="58"/>
      <c r="E917" s="58"/>
      <c r="F917" s="58"/>
      <c r="G917" s="58"/>
      <c r="H917" s="58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8"/>
      <c r="U917" s="58"/>
      <c r="V917" s="58"/>
      <c r="W917" s="58"/>
      <c r="X917" s="58"/>
      <c r="Y917" s="58"/>
      <c r="Z917" s="58"/>
    </row>
    <row r="918" spans="1:26">
      <c r="A918" s="58"/>
      <c r="B918" s="58"/>
      <c r="C918" s="58"/>
      <c r="D918" s="58"/>
      <c r="E918" s="58"/>
      <c r="F918" s="58"/>
      <c r="G918" s="58"/>
      <c r="H918" s="58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8"/>
      <c r="U918" s="58"/>
      <c r="V918" s="58"/>
      <c r="W918" s="58"/>
      <c r="X918" s="58"/>
      <c r="Y918" s="58"/>
      <c r="Z918" s="58"/>
    </row>
    <row r="919" spans="1:26">
      <c r="A919" s="58"/>
      <c r="B919" s="58"/>
      <c r="C919" s="58"/>
      <c r="D919" s="58"/>
      <c r="E919" s="58"/>
      <c r="F919" s="58"/>
      <c r="G919" s="58"/>
      <c r="H919" s="58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8"/>
      <c r="U919" s="58"/>
      <c r="V919" s="58"/>
      <c r="W919" s="58"/>
      <c r="X919" s="58"/>
      <c r="Y919" s="58"/>
      <c r="Z919" s="58"/>
    </row>
    <row r="920" spans="1:26">
      <c r="A920" s="58"/>
      <c r="B920" s="58"/>
      <c r="C920" s="58"/>
      <c r="D920" s="58"/>
      <c r="E920" s="58"/>
      <c r="F920" s="58"/>
      <c r="G920" s="58"/>
      <c r="H920" s="58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8"/>
      <c r="U920" s="58"/>
      <c r="V920" s="58"/>
      <c r="W920" s="58"/>
      <c r="X920" s="58"/>
      <c r="Y920" s="58"/>
      <c r="Z920" s="58"/>
    </row>
    <row r="921" spans="1:26">
      <c r="A921" s="58"/>
      <c r="B921" s="58"/>
      <c r="C921" s="58"/>
      <c r="D921" s="58"/>
      <c r="E921" s="58"/>
      <c r="F921" s="58"/>
      <c r="G921" s="58"/>
      <c r="H921" s="58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8"/>
      <c r="U921" s="58"/>
      <c r="V921" s="58"/>
      <c r="W921" s="58"/>
      <c r="X921" s="58"/>
      <c r="Y921" s="58"/>
      <c r="Z921" s="58"/>
    </row>
    <row r="922" spans="1:26">
      <c r="A922" s="58"/>
      <c r="B922" s="58"/>
      <c r="C922" s="58"/>
      <c r="D922" s="58"/>
      <c r="E922" s="58"/>
      <c r="F922" s="58"/>
      <c r="G922" s="58"/>
      <c r="H922" s="58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8"/>
      <c r="U922" s="58"/>
      <c r="V922" s="58"/>
      <c r="W922" s="58"/>
      <c r="X922" s="58"/>
      <c r="Y922" s="58"/>
      <c r="Z922" s="58"/>
    </row>
    <row r="923" spans="1:26">
      <c r="A923" s="58"/>
      <c r="B923" s="58"/>
      <c r="C923" s="58"/>
      <c r="D923" s="58"/>
      <c r="E923" s="58"/>
      <c r="F923" s="58"/>
      <c r="G923" s="58"/>
      <c r="H923" s="58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8"/>
      <c r="U923" s="58"/>
      <c r="V923" s="58"/>
      <c r="W923" s="58"/>
      <c r="X923" s="58"/>
      <c r="Y923" s="58"/>
      <c r="Z923" s="58"/>
    </row>
    <row r="924" spans="1:26">
      <c r="A924" s="58"/>
      <c r="B924" s="58"/>
      <c r="C924" s="58"/>
      <c r="D924" s="58"/>
      <c r="E924" s="58"/>
      <c r="F924" s="58"/>
      <c r="G924" s="58"/>
      <c r="H924" s="58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8"/>
      <c r="U924" s="58"/>
      <c r="V924" s="58"/>
      <c r="W924" s="58"/>
      <c r="X924" s="58"/>
      <c r="Y924" s="58"/>
      <c r="Z924" s="58"/>
    </row>
    <row r="925" spans="1:26">
      <c r="A925" s="58"/>
      <c r="B925" s="58"/>
      <c r="C925" s="58"/>
      <c r="D925" s="58"/>
      <c r="E925" s="58"/>
      <c r="F925" s="58"/>
      <c r="G925" s="58"/>
      <c r="H925" s="58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8"/>
      <c r="U925" s="58"/>
      <c r="V925" s="58"/>
      <c r="W925" s="58"/>
      <c r="X925" s="58"/>
      <c r="Y925" s="58"/>
      <c r="Z925" s="58"/>
    </row>
    <row r="926" spans="1:26">
      <c r="A926" s="58"/>
      <c r="B926" s="58"/>
      <c r="C926" s="58"/>
      <c r="D926" s="58"/>
      <c r="E926" s="58"/>
      <c r="F926" s="58"/>
      <c r="G926" s="58"/>
      <c r="H926" s="58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8"/>
      <c r="U926" s="58"/>
      <c r="V926" s="58"/>
      <c r="W926" s="58"/>
      <c r="X926" s="58"/>
      <c r="Y926" s="58"/>
      <c r="Z926" s="58"/>
    </row>
    <row r="927" spans="1:26">
      <c r="A927" s="58"/>
      <c r="B927" s="58"/>
      <c r="C927" s="58"/>
      <c r="D927" s="58"/>
      <c r="E927" s="58"/>
      <c r="F927" s="58"/>
      <c r="G927" s="58"/>
      <c r="H927" s="58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8"/>
      <c r="U927" s="58"/>
      <c r="V927" s="58"/>
      <c r="W927" s="58"/>
      <c r="X927" s="58"/>
      <c r="Y927" s="58"/>
      <c r="Z927" s="58"/>
    </row>
    <row r="928" spans="1:26">
      <c r="A928" s="58"/>
      <c r="B928" s="58"/>
      <c r="C928" s="58"/>
      <c r="D928" s="58"/>
      <c r="E928" s="58"/>
      <c r="F928" s="58"/>
      <c r="G928" s="58"/>
      <c r="H928" s="58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8"/>
      <c r="U928" s="58"/>
      <c r="V928" s="58"/>
      <c r="W928" s="58"/>
      <c r="X928" s="58"/>
      <c r="Y928" s="58"/>
      <c r="Z928" s="58"/>
    </row>
    <row r="929" spans="1:26">
      <c r="A929" s="58"/>
      <c r="B929" s="58"/>
      <c r="C929" s="58"/>
      <c r="D929" s="58"/>
      <c r="E929" s="58"/>
      <c r="F929" s="58"/>
      <c r="G929" s="58"/>
      <c r="H929" s="58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8"/>
      <c r="U929" s="58"/>
      <c r="V929" s="58"/>
      <c r="W929" s="58"/>
      <c r="X929" s="58"/>
      <c r="Y929" s="58"/>
      <c r="Z929" s="58"/>
    </row>
    <row r="930" spans="1:26">
      <c r="A930" s="58"/>
      <c r="B930" s="58"/>
      <c r="C930" s="58"/>
      <c r="D930" s="58"/>
      <c r="E930" s="58"/>
      <c r="F930" s="58"/>
      <c r="G930" s="58"/>
      <c r="H930" s="58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8"/>
      <c r="U930" s="58"/>
      <c r="V930" s="58"/>
      <c r="W930" s="58"/>
      <c r="X930" s="58"/>
      <c r="Y930" s="58"/>
      <c r="Z930" s="58"/>
    </row>
    <row r="931" spans="1:26">
      <c r="A931" s="58"/>
      <c r="B931" s="58"/>
      <c r="C931" s="58"/>
      <c r="D931" s="58"/>
      <c r="E931" s="58"/>
      <c r="F931" s="58"/>
      <c r="G931" s="58"/>
      <c r="H931" s="58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8"/>
      <c r="U931" s="58"/>
      <c r="V931" s="58"/>
      <c r="W931" s="58"/>
      <c r="X931" s="58"/>
      <c r="Y931" s="58"/>
      <c r="Z931" s="58"/>
    </row>
    <row r="932" spans="1:26">
      <c r="A932" s="58"/>
      <c r="B932" s="58"/>
      <c r="C932" s="58"/>
      <c r="D932" s="58"/>
      <c r="E932" s="58"/>
      <c r="F932" s="58"/>
      <c r="G932" s="58"/>
      <c r="H932" s="58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8"/>
      <c r="U932" s="58"/>
      <c r="V932" s="58"/>
      <c r="W932" s="58"/>
      <c r="X932" s="58"/>
      <c r="Y932" s="58"/>
      <c r="Z932" s="58"/>
    </row>
    <row r="933" spans="1:26">
      <c r="A933" s="58"/>
      <c r="B933" s="58"/>
      <c r="C933" s="58"/>
      <c r="D933" s="58"/>
      <c r="E933" s="58"/>
      <c r="F933" s="58"/>
      <c r="G933" s="58"/>
      <c r="H933" s="58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8"/>
      <c r="U933" s="58"/>
      <c r="V933" s="58"/>
      <c r="W933" s="58"/>
      <c r="X933" s="58"/>
      <c r="Y933" s="58"/>
      <c r="Z933" s="58"/>
    </row>
    <row r="934" spans="1:26">
      <c r="A934" s="58"/>
      <c r="B934" s="58"/>
      <c r="C934" s="58"/>
      <c r="D934" s="58"/>
      <c r="E934" s="58"/>
      <c r="F934" s="58"/>
      <c r="G934" s="58"/>
      <c r="H934" s="58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8"/>
      <c r="U934" s="58"/>
      <c r="V934" s="58"/>
      <c r="W934" s="58"/>
      <c r="X934" s="58"/>
      <c r="Y934" s="58"/>
      <c r="Z934" s="58"/>
    </row>
    <row r="935" spans="1:26">
      <c r="A935" s="58"/>
      <c r="B935" s="58"/>
      <c r="C935" s="58"/>
      <c r="D935" s="58"/>
      <c r="E935" s="58"/>
      <c r="F935" s="58"/>
      <c r="G935" s="58"/>
      <c r="H935" s="58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8"/>
      <c r="U935" s="58"/>
      <c r="V935" s="58"/>
      <c r="W935" s="58"/>
      <c r="X935" s="58"/>
      <c r="Y935" s="58"/>
      <c r="Z935" s="58"/>
    </row>
    <row r="936" spans="1:26">
      <c r="A936" s="58"/>
      <c r="B936" s="58"/>
      <c r="C936" s="58"/>
      <c r="D936" s="58"/>
      <c r="E936" s="58"/>
      <c r="F936" s="58"/>
      <c r="G936" s="58"/>
      <c r="H936" s="58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8"/>
      <c r="U936" s="58"/>
      <c r="V936" s="58"/>
      <c r="W936" s="58"/>
      <c r="X936" s="58"/>
      <c r="Y936" s="58"/>
      <c r="Z936" s="58"/>
    </row>
    <row r="937" spans="1:26">
      <c r="A937" s="58"/>
      <c r="B937" s="58"/>
      <c r="C937" s="58"/>
      <c r="D937" s="58"/>
      <c r="E937" s="58"/>
      <c r="F937" s="58"/>
      <c r="G937" s="58"/>
      <c r="H937" s="58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8"/>
      <c r="U937" s="58"/>
      <c r="V937" s="58"/>
      <c r="W937" s="58"/>
      <c r="X937" s="58"/>
      <c r="Y937" s="58"/>
      <c r="Z937" s="58"/>
    </row>
    <row r="938" spans="1:26">
      <c r="A938" s="58"/>
      <c r="B938" s="58"/>
      <c r="C938" s="58"/>
      <c r="D938" s="58"/>
      <c r="E938" s="58"/>
      <c r="F938" s="58"/>
      <c r="G938" s="58"/>
      <c r="H938" s="58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8"/>
      <c r="U938" s="58"/>
      <c r="V938" s="58"/>
      <c r="W938" s="58"/>
      <c r="X938" s="58"/>
      <c r="Y938" s="58"/>
      <c r="Z938" s="58"/>
    </row>
    <row r="939" spans="1:26">
      <c r="A939" s="58"/>
      <c r="B939" s="58"/>
      <c r="C939" s="58"/>
      <c r="D939" s="58"/>
      <c r="E939" s="58"/>
      <c r="F939" s="58"/>
      <c r="G939" s="58"/>
      <c r="H939" s="58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8"/>
      <c r="U939" s="58"/>
      <c r="V939" s="58"/>
      <c r="W939" s="58"/>
      <c r="X939" s="58"/>
      <c r="Y939" s="58"/>
      <c r="Z939" s="58"/>
    </row>
    <row r="940" spans="1:26">
      <c r="A940" s="58"/>
      <c r="B940" s="58"/>
      <c r="C940" s="58"/>
      <c r="D940" s="58"/>
      <c r="E940" s="58"/>
      <c r="F940" s="58"/>
      <c r="G940" s="58"/>
      <c r="H940" s="58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8"/>
      <c r="U940" s="58"/>
      <c r="V940" s="58"/>
      <c r="W940" s="58"/>
      <c r="X940" s="58"/>
      <c r="Y940" s="58"/>
      <c r="Z940" s="58"/>
    </row>
    <row r="941" spans="1:26">
      <c r="A941" s="58"/>
      <c r="B941" s="58"/>
      <c r="C941" s="58"/>
      <c r="D941" s="58"/>
      <c r="E941" s="58"/>
      <c r="F941" s="58"/>
      <c r="G941" s="58"/>
      <c r="H941" s="58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8"/>
      <c r="U941" s="58"/>
      <c r="V941" s="58"/>
      <c r="W941" s="58"/>
      <c r="X941" s="58"/>
      <c r="Y941" s="58"/>
      <c r="Z941" s="58"/>
    </row>
    <row r="942" spans="1:26">
      <c r="A942" s="58"/>
      <c r="B942" s="58"/>
      <c r="C942" s="58"/>
      <c r="D942" s="58"/>
      <c r="E942" s="58"/>
      <c r="F942" s="58"/>
      <c r="G942" s="58"/>
      <c r="H942" s="58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8"/>
      <c r="U942" s="58"/>
      <c r="V942" s="58"/>
      <c r="W942" s="58"/>
      <c r="X942" s="58"/>
      <c r="Y942" s="58"/>
      <c r="Z942" s="58"/>
    </row>
    <row r="943" spans="1:26">
      <c r="A943" s="58"/>
      <c r="B943" s="58"/>
      <c r="C943" s="58"/>
      <c r="D943" s="58"/>
      <c r="E943" s="58"/>
      <c r="F943" s="58"/>
      <c r="G943" s="58"/>
      <c r="H943" s="58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8"/>
      <c r="U943" s="58"/>
      <c r="V943" s="58"/>
      <c r="W943" s="58"/>
      <c r="X943" s="58"/>
      <c r="Y943" s="58"/>
      <c r="Z943" s="58"/>
    </row>
    <row r="944" spans="1:26">
      <c r="A944" s="58"/>
      <c r="B944" s="58"/>
      <c r="C944" s="58"/>
      <c r="D944" s="58"/>
      <c r="E944" s="58"/>
      <c r="F944" s="58"/>
      <c r="G944" s="58"/>
      <c r="H944" s="58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8"/>
      <c r="U944" s="58"/>
      <c r="V944" s="58"/>
      <c r="W944" s="58"/>
      <c r="X944" s="58"/>
      <c r="Y944" s="58"/>
      <c r="Z944" s="58"/>
    </row>
    <row r="945" spans="1:26">
      <c r="A945" s="58"/>
      <c r="B945" s="58"/>
      <c r="C945" s="58"/>
      <c r="D945" s="58"/>
      <c r="E945" s="58"/>
      <c r="F945" s="58"/>
      <c r="G945" s="58"/>
      <c r="H945" s="58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8"/>
      <c r="U945" s="58"/>
      <c r="V945" s="58"/>
      <c r="W945" s="58"/>
      <c r="X945" s="58"/>
      <c r="Y945" s="58"/>
      <c r="Z945" s="58"/>
    </row>
    <row r="946" spans="1:26">
      <c r="A946" s="58"/>
      <c r="B946" s="58"/>
      <c r="C946" s="58"/>
      <c r="D946" s="58"/>
      <c r="E946" s="58"/>
      <c r="F946" s="58"/>
      <c r="G946" s="58"/>
      <c r="H946" s="58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8"/>
      <c r="U946" s="58"/>
      <c r="V946" s="58"/>
      <c r="W946" s="58"/>
      <c r="X946" s="58"/>
      <c r="Y946" s="58"/>
      <c r="Z946" s="58"/>
    </row>
    <row r="947" spans="1:26">
      <c r="A947" s="58"/>
      <c r="B947" s="58"/>
      <c r="C947" s="58"/>
      <c r="D947" s="58"/>
      <c r="E947" s="58"/>
      <c r="F947" s="58"/>
      <c r="G947" s="58"/>
      <c r="H947" s="58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8"/>
      <c r="U947" s="58"/>
      <c r="V947" s="58"/>
      <c r="W947" s="58"/>
      <c r="X947" s="58"/>
      <c r="Y947" s="58"/>
      <c r="Z947" s="58"/>
    </row>
    <row r="948" spans="1:26">
      <c r="A948" s="58"/>
      <c r="B948" s="58"/>
      <c r="C948" s="58"/>
      <c r="D948" s="58"/>
      <c r="E948" s="58"/>
      <c r="F948" s="58"/>
      <c r="G948" s="58"/>
      <c r="H948" s="58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8"/>
      <c r="U948" s="58"/>
      <c r="V948" s="58"/>
      <c r="W948" s="58"/>
      <c r="X948" s="58"/>
      <c r="Y948" s="58"/>
      <c r="Z948" s="58"/>
    </row>
    <row r="949" spans="1:26">
      <c r="A949" s="58"/>
      <c r="B949" s="58"/>
      <c r="C949" s="58"/>
      <c r="D949" s="58"/>
      <c r="E949" s="58"/>
      <c r="F949" s="58"/>
      <c r="G949" s="58"/>
      <c r="H949" s="58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8"/>
      <c r="U949" s="58"/>
      <c r="V949" s="58"/>
      <c r="W949" s="58"/>
      <c r="X949" s="58"/>
      <c r="Y949" s="58"/>
      <c r="Z949" s="58"/>
    </row>
    <row r="950" spans="1:26">
      <c r="A950" s="58"/>
      <c r="B950" s="58"/>
      <c r="C950" s="58"/>
      <c r="D950" s="58"/>
      <c r="E950" s="58"/>
      <c r="F950" s="58"/>
      <c r="G950" s="58"/>
      <c r="H950" s="58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8"/>
      <c r="U950" s="58"/>
      <c r="V950" s="58"/>
      <c r="W950" s="58"/>
      <c r="X950" s="58"/>
      <c r="Y950" s="58"/>
      <c r="Z950" s="58"/>
    </row>
    <row r="951" spans="1:26">
      <c r="A951" s="58"/>
      <c r="B951" s="58"/>
      <c r="C951" s="58"/>
      <c r="D951" s="58"/>
      <c r="E951" s="58"/>
      <c r="F951" s="58"/>
      <c r="G951" s="58"/>
      <c r="H951" s="58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8"/>
      <c r="U951" s="58"/>
      <c r="V951" s="58"/>
      <c r="W951" s="58"/>
      <c r="X951" s="58"/>
      <c r="Y951" s="58"/>
      <c r="Z951" s="58"/>
    </row>
    <row r="952" spans="1:26">
      <c r="A952" s="58"/>
      <c r="B952" s="58"/>
      <c r="C952" s="58"/>
      <c r="D952" s="58"/>
      <c r="E952" s="58"/>
      <c r="F952" s="58"/>
      <c r="G952" s="58"/>
      <c r="H952" s="58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8"/>
      <c r="U952" s="58"/>
      <c r="V952" s="58"/>
      <c r="W952" s="58"/>
      <c r="X952" s="58"/>
      <c r="Y952" s="58"/>
      <c r="Z952" s="58"/>
    </row>
    <row r="953" spans="1:26">
      <c r="A953" s="58"/>
      <c r="B953" s="58"/>
      <c r="C953" s="58"/>
      <c r="D953" s="58"/>
      <c r="E953" s="58"/>
      <c r="F953" s="58"/>
      <c r="G953" s="58"/>
      <c r="H953" s="58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8"/>
      <c r="U953" s="58"/>
      <c r="V953" s="58"/>
      <c r="W953" s="58"/>
      <c r="X953" s="58"/>
      <c r="Y953" s="58"/>
      <c r="Z953" s="58"/>
    </row>
    <row r="954" spans="1:26">
      <c r="A954" s="58"/>
      <c r="B954" s="58"/>
      <c r="C954" s="58"/>
      <c r="D954" s="58"/>
      <c r="E954" s="58"/>
      <c r="F954" s="58"/>
      <c r="G954" s="58"/>
      <c r="H954" s="58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8"/>
      <c r="U954" s="58"/>
      <c r="V954" s="58"/>
      <c r="W954" s="58"/>
      <c r="X954" s="58"/>
      <c r="Y954" s="58"/>
      <c r="Z954" s="58"/>
    </row>
    <row r="955" spans="1:26">
      <c r="A955" s="58"/>
      <c r="B955" s="58"/>
      <c r="C955" s="58"/>
      <c r="D955" s="58"/>
      <c r="E955" s="58"/>
      <c r="F955" s="58"/>
      <c r="G955" s="58"/>
      <c r="H955" s="58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8"/>
      <c r="U955" s="58"/>
      <c r="V955" s="58"/>
      <c r="W955" s="58"/>
      <c r="X955" s="58"/>
      <c r="Y955" s="58"/>
      <c r="Z955" s="58"/>
    </row>
    <row r="956" spans="1:26">
      <c r="A956" s="58"/>
      <c r="B956" s="58"/>
      <c r="C956" s="58"/>
      <c r="D956" s="58"/>
      <c r="E956" s="58"/>
      <c r="F956" s="58"/>
      <c r="G956" s="58"/>
      <c r="H956" s="58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8"/>
      <c r="U956" s="58"/>
      <c r="V956" s="58"/>
      <c r="W956" s="58"/>
      <c r="X956" s="58"/>
      <c r="Y956" s="58"/>
      <c r="Z956" s="58"/>
    </row>
    <row r="957" spans="1:26">
      <c r="A957" s="58"/>
      <c r="B957" s="58"/>
      <c r="C957" s="58"/>
      <c r="D957" s="58"/>
      <c r="E957" s="58"/>
      <c r="F957" s="58"/>
      <c r="G957" s="58"/>
      <c r="H957" s="58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8"/>
      <c r="U957" s="58"/>
      <c r="V957" s="58"/>
      <c r="W957" s="58"/>
      <c r="X957" s="58"/>
      <c r="Y957" s="58"/>
      <c r="Z957" s="58"/>
    </row>
    <row r="958" spans="1:26">
      <c r="A958" s="58"/>
      <c r="B958" s="58"/>
      <c r="C958" s="58"/>
      <c r="D958" s="58"/>
      <c r="E958" s="58"/>
      <c r="F958" s="58"/>
      <c r="G958" s="58"/>
      <c r="H958" s="58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8"/>
      <c r="U958" s="58"/>
      <c r="V958" s="58"/>
      <c r="W958" s="58"/>
      <c r="X958" s="58"/>
      <c r="Y958" s="58"/>
      <c r="Z958" s="58"/>
    </row>
    <row r="959" spans="1:26">
      <c r="A959" s="58"/>
      <c r="B959" s="58"/>
      <c r="C959" s="58"/>
      <c r="D959" s="58"/>
      <c r="E959" s="58"/>
      <c r="F959" s="58"/>
      <c r="G959" s="58"/>
      <c r="H959" s="58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8"/>
      <c r="U959" s="58"/>
      <c r="V959" s="58"/>
      <c r="W959" s="58"/>
      <c r="X959" s="58"/>
      <c r="Y959" s="58"/>
      <c r="Z959" s="58"/>
    </row>
    <row r="960" spans="1:26">
      <c r="A960" s="58"/>
      <c r="B960" s="58"/>
      <c r="C960" s="58"/>
      <c r="D960" s="58"/>
      <c r="E960" s="58"/>
      <c r="F960" s="58"/>
      <c r="G960" s="58"/>
      <c r="H960" s="58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8"/>
      <c r="U960" s="58"/>
      <c r="V960" s="58"/>
      <c r="W960" s="58"/>
      <c r="X960" s="58"/>
      <c r="Y960" s="58"/>
      <c r="Z960" s="58"/>
    </row>
    <row r="961" spans="1:26">
      <c r="A961" s="58"/>
      <c r="B961" s="58"/>
      <c r="C961" s="58"/>
      <c r="D961" s="58"/>
      <c r="E961" s="58"/>
      <c r="F961" s="58"/>
      <c r="G961" s="58"/>
      <c r="H961" s="58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8"/>
      <c r="U961" s="58"/>
      <c r="V961" s="58"/>
      <c r="W961" s="58"/>
      <c r="X961" s="58"/>
      <c r="Y961" s="58"/>
      <c r="Z961" s="58"/>
    </row>
    <row r="962" spans="1:26">
      <c r="A962" s="58"/>
      <c r="B962" s="58"/>
      <c r="C962" s="58"/>
      <c r="D962" s="58"/>
      <c r="E962" s="58"/>
      <c r="F962" s="58"/>
      <c r="G962" s="58"/>
      <c r="H962" s="58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8"/>
      <c r="U962" s="58"/>
      <c r="V962" s="58"/>
      <c r="W962" s="58"/>
      <c r="X962" s="58"/>
      <c r="Y962" s="58"/>
      <c r="Z962" s="58"/>
    </row>
    <row r="963" spans="1:26">
      <c r="A963" s="58"/>
      <c r="B963" s="58"/>
      <c r="C963" s="58"/>
      <c r="D963" s="58"/>
      <c r="E963" s="58"/>
      <c r="F963" s="58"/>
      <c r="G963" s="58"/>
      <c r="H963" s="58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8"/>
      <c r="U963" s="58"/>
      <c r="V963" s="58"/>
      <c r="W963" s="58"/>
      <c r="X963" s="58"/>
      <c r="Y963" s="58"/>
      <c r="Z963" s="58"/>
    </row>
    <row r="964" spans="1:26">
      <c r="A964" s="58"/>
      <c r="B964" s="58"/>
      <c r="C964" s="58"/>
      <c r="D964" s="58"/>
      <c r="E964" s="58"/>
      <c r="F964" s="58"/>
      <c r="G964" s="58"/>
      <c r="H964" s="58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8"/>
      <c r="U964" s="58"/>
      <c r="V964" s="58"/>
      <c r="W964" s="58"/>
      <c r="X964" s="58"/>
      <c r="Y964" s="58"/>
      <c r="Z964" s="58"/>
    </row>
    <row r="965" spans="1:26">
      <c r="A965" s="58"/>
      <c r="B965" s="58"/>
      <c r="C965" s="58"/>
      <c r="D965" s="58"/>
      <c r="E965" s="58"/>
      <c r="F965" s="58"/>
      <c r="G965" s="58"/>
      <c r="H965" s="58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8"/>
      <c r="U965" s="58"/>
      <c r="V965" s="58"/>
      <c r="W965" s="58"/>
      <c r="X965" s="58"/>
      <c r="Y965" s="58"/>
      <c r="Z965" s="58"/>
    </row>
    <row r="966" spans="1:26">
      <c r="A966" s="58"/>
      <c r="B966" s="58"/>
      <c r="C966" s="58"/>
      <c r="D966" s="58"/>
      <c r="E966" s="58"/>
      <c r="F966" s="58"/>
      <c r="G966" s="58"/>
      <c r="H966" s="58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8"/>
      <c r="U966" s="58"/>
      <c r="V966" s="58"/>
      <c r="W966" s="58"/>
      <c r="X966" s="58"/>
      <c r="Y966" s="58"/>
      <c r="Z966" s="58"/>
    </row>
    <row r="967" spans="1:26">
      <c r="A967" s="58"/>
      <c r="B967" s="58"/>
      <c r="C967" s="58"/>
      <c r="D967" s="58"/>
      <c r="E967" s="58"/>
      <c r="F967" s="58"/>
      <c r="G967" s="58"/>
      <c r="H967" s="58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8"/>
      <c r="U967" s="58"/>
      <c r="V967" s="58"/>
      <c r="W967" s="58"/>
      <c r="X967" s="58"/>
      <c r="Y967" s="58"/>
      <c r="Z967" s="58"/>
    </row>
    <row r="968" spans="1:26">
      <c r="A968" s="58"/>
      <c r="B968" s="58"/>
      <c r="C968" s="58"/>
      <c r="D968" s="58"/>
      <c r="E968" s="58"/>
      <c r="F968" s="58"/>
      <c r="G968" s="58"/>
      <c r="H968" s="58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8"/>
      <c r="U968" s="58"/>
      <c r="V968" s="58"/>
      <c r="W968" s="58"/>
      <c r="X968" s="58"/>
      <c r="Y968" s="58"/>
      <c r="Z968" s="58"/>
    </row>
    <row r="969" spans="1:26">
      <c r="A969" s="58"/>
      <c r="B969" s="58"/>
      <c r="C969" s="58"/>
      <c r="D969" s="58"/>
      <c r="E969" s="58"/>
      <c r="F969" s="58"/>
      <c r="G969" s="58"/>
      <c r="H969" s="58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8"/>
      <c r="U969" s="58"/>
      <c r="V969" s="58"/>
      <c r="W969" s="58"/>
      <c r="X969" s="58"/>
      <c r="Y969" s="58"/>
      <c r="Z969" s="58"/>
    </row>
    <row r="970" spans="1:26">
      <c r="A970" s="58"/>
      <c r="B970" s="58"/>
      <c r="C970" s="58"/>
      <c r="D970" s="58"/>
      <c r="E970" s="58"/>
      <c r="F970" s="58"/>
      <c r="G970" s="58"/>
      <c r="H970" s="58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8"/>
      <c r="U970" s="58"/>
      <c r="V970" s="58"/>
      <c r="W970" s="58"/>
      <c r="X970" s="58"/>
      <c r="Y970" s="58"/>
      <c r="Z970" s="58"/>
    </row>
    <row r="971" spans="1:26">
      <c r="A971" s="58"/>
      <c r="B971" s="58"/>
      <c r="C971" s="58"/>
      <c r="D971" s="58"/>
      <c r="E971" s="58"/>
      <c r="F971" s="58"/>
      <c r="G971" s="58"/>
      <c r="H971" s="58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8"/>
      <c r="U971" s="58"/>
      <c r="V971" s="58"/>
      <c r="W971" s="58"/>
      <c r="X971" s="58"/>
      <c r="Y971" s="58"/>
      <c r="Z971" s="58"/>
    </row>
    <row r="972" spans="1:26">
      <c r="A972" s="58"/>
      <c r="B972" s="58"/>
      <c r="C972" s="58"/>
      <c r="D972" s="58"/>
      <c r="E972" s="58"/>
      <c r="F972" s="58"/>
      <c r="G972" s="58"/>
      <c r="H972" s="58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8"/>
      <c r="U972" s="58"/>
      <c r="V972" s="58"/>
      <c r="W972" s="58"/>
      <c r="X972" s="58"/>
      <c r="Y972" s="58"/>
      <c r="Z972" s="58"/>
    </row>
    <row r="973" spans="1:26">
      <c r="A973" s="58"/>
      <c r="B973" s="58"/>
      <c r="C973" s="58"/>
      <c r="D973" s="58"/>
      <c r="E973" s="58"/>
      <c r="F973" s="58"/>
      <c r="G973" s="58"/>
      <c r="H973" s="58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8"/>
      <c r="U973" s="58"/>
      <c r="V973" s="58"/>
      <c r="W973" s="58"/>
      <c r="X973" s="58"/>
      <c r="Y973" s="58"/>
      <c r="Z973" s="58"/>
    </row>
    <row r="974" spans="1:26">
      <c r="A974" s="58"/>
      <c r="B974" s="58"/>
      <c r="C974" s="58"/>
      <c r="D974" s="58"/>
      <c r="E974" s="58"/>
      <c r="F974" s="58"/>
      <c r="G974" s="58"/>
      <c r="H974" s="58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8"/>
      <c r="U974" s="58"/>
      <c r="V974" s="58"/>
      <c r="W974" s="58"/>
      <c r="X974" s="58"/>
      <c r="Y974" s="58"/>
      <c r="Z974" s="58"/>
    </row>
    <row r="975" spans="1:26">
      <c r="A975" s="58"/>
      <c r="B975" s="58"/>
      <c r="C975" s="58"/>
      <c r="D975" s="58"/>
      <c r="E975" s="58"/>
      <c r="F975" s="58"/>
      <c r="G975" s="58"/>
      <c r="H975" s="58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8"/>
      <c r="U975" s="58"/>
      <c r="V975" s="58"/>
      <c r="W975" s="58"/>
      <c r="X975" s="58"/>
      <c r="Y975" s="58"/>
      <c r="Z975" s="58"/>
    </row>
    <row r="976" spans="1:26">
      <c r="A976" s="58"/>
      <c r="B976" s="58"/>
      <c r="C976" s="58"/>
      <c r="D976" s="58"/>
      <c r="E976" s="58"/>
      <c r="F976" s="58"/>
      <c r="G976" s="58"/>
      <c r="H976" s="58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8"/>
      <c r="U976" s="58"/>
      <c r="V976" s="58"/>
      <c r="W976" s="58"/>
      <c r="X976" s="58"/>
      <c r="Y976" s="58"/>
      <c r="Z976" s="58"/>
    </row>
    <row r="977" spans="1:26">
      <c r="A977" s="58"/>
      <c r="B977" s="58"/>
      <c r="C977" s="58"/>
      <c r="D977" s="58"/>
      <c r="E977" s="58"/>
      <c r="F977" s="58"/>
      <c r="G977" s="58"/>
      <c r="H977" s="58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8"/>
      <c r="U977" s="58"/>
      <c r="V977" s="58"/>
      <c r="W977" s="58"/>
      <c r="X977" s="58"/>
      <c r="Y977" s="58"/>
      <c r="Z977" s="58"/>
    </row>
    <row r="978" spans="1:26">
      <c r="A978" s="58"/>
      <c r="B978" s="58"/>
      <c r="C978" s="58"/>
      <c r="D978" s="58"/>
      <c r="E978" s="58"/>
      <c r="F978" s="58"/>
      <c r="G978" s="58"/>
      <c r="H978" s="58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8"/>
      <c r="U978" s="58"/>
      <c r="V978" s="58"/>
      <c r="W978" s="58"/>
      <c r="X978" s="58"/>
      <c r="Y978" s="58"/>
      <c r="Z978" s="58"/>
    </row>
    <row r="979" spans="1:26">
      <c r="A979" s="58"/>
      <c r="B979" s="58"/>
      <c r="C979" s="58"/>
      <c r="D979" s="58"/>
      <c r="E979" s="58"/>
      <c r="F979" s="58"/>
      <c r="G979" s="58"/>
      <c r="H979" s="58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8"/>
      <c r="U979" s="58"/>
      <c r="V979" s="58"/>
      <c r="W979" s="58"/>
      <c r="X979" s="58"/>
      <c r="Y979" s="58"/>
      <c r="Z979" s="58"/>
    </row>
    <row r="980" spans="1:26">
      <c r="A980" s="58"/>
      <c r="B980" s="58"/>
      <c r="C980" s="58"/>
      <c r="D980" s="58"/>
      <c r="E980" s="58"/>
      <c r="F980" s="58"/>
      <c r="G980" s="58"/>
      <c r="H980" s="58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8"/>
      <c r="U980" s="58"/>
      <c r="V980" s="58"/>
      <c r="W980" s="58"/>
      <c r="X980" s="58"/>
      <c r="Y980" s="58"/>
      <c r="Z980" s="58"/>
    </row>
    <row r="981" spans="1:26">
      <c r="A981" s="58"/>
      <c r="B981" s="58"/>
      <c r="C981" s="58"/>
      <c r="D981" s="58"/>
      <c r="E981" s="58"/>
      <c r="F981" s="58"/>
      <c r="G981" s="58"/>
      <c r="H981" s="58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8"/>
      <c r="U981" s="58"/>
      <c r="V981" s="58"/>
      <c r="W981" s="58"/>
      <c r="X981" s="58"/>
      <c r="Y981" s="58"/>
      <c r="Z981" s="58"/>
    </row>
    <row r="982" spans="1:26">
      <c r="A982" s="58"/>
      <c r="B982" s="58"/>
      <c r="C982" s="58"/>
      <c r="D982" s="58"/>
      <c r="E982" s="58"/>
      <c r="F982" s="58"/>
      <c r="G982" s="58"/>
      <c r="H982" s="58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8"/>
      <c r="U982" s="58"/>
      <c r="V982" s="58"/>
      <c r="W982" s="58"/>
      <c r="X982" s="58"/>
      <c r="Y982" s="58"/>
      <c r="Z982" s="58"/>
    </row>
    <row r="983" spans="1:26">
      <c r="A983" s="58"/>
      <c r="B983" s="58"/>
      <c r="C983" s="58"/>
      <c r="D983" s="58"/>
      <c r="E983" s="58"/>
      <c r="F983" s="58"/>
      <c r="G983" s="58"/>
      <c r="H983" s="58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8"/>
      <c r="U983" s="58"/>
      <c r="V983" s="58"/>
      <c r="W983" s="58"/>
      <c r="X983" s="58"/>
      <c r="Y983" s="58"/>
      <c r="Z983" s="58"/>
    </row>
    <row r="984" spans="1:26">
      <c r="A984" s="58"/>
      <c r="B984" s="58"/>
      <c r="C984" s="58"/>
      <c r="D984" s="58"/>
      <c r="E984" s="58"/>
      <c r="F984" s="58"/>
      <c r="G984" s="58"/>
      <c r="H984" s="58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8"/>
      <c r="U984" s="58"/>
      <c r="V984" s="58"/>
      <c r="W984" s="58"/>
      <c r="X984" s="58"/>
      <c r="Y984" s="58"/>
      <c r="Z984" s="58"/>
    </row>
    <row r="985" spans="1:26">
      <c r="A985" s="58"/>
      <c r="B985" s="58"/>
      <c r="C985" s="58"/>
      <c r="D985" s="58"/>
      <c r="E985" s="58"/>
      <c r="F985" s="58"/>
      <c r="G985" s="58"/>
      <c r="H985" s="58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8"/>
      <c r="U985" s="58"/>
      <c r="V985" s="58"/>
      <c r="W985" s="58"/>
      <c r="X985" s="58"/>
      <c r="Y985" s="58"/>
      <c r="Z985" s="58"/>
    </row>
    <row r="986" spans="1:26">
      <c r="A986" s="58"/>
      <c r="B986" s="58"/>
      <c r="C986" s="58"/>
      <c r="D986" s="58"/>
      <c r="E986" s="58"/>
      <c r="F986" s="58"/>
      <c r="G986" s="58"/>
      <c r="H986" s="58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8"/>
      <c r="U986" s="58"/>
      <c r="V986" s="58"/>
      <c r="W986" s="58"/>
      <c r="X986" s="58"/>
      <c r="Y986" s="58"/>
      <c r="Z986" s="58"/>
    </row>
    <row r="987" spans="1:26">
      <c r="A987" s="58"/>
      <c r="B987" s="58"/>
      <c r="C987" s="58"/>
      <c r="D987" s="58"/>
      <c r="E987" s="58"/>
      <c r="F987" s="58"/>
      <c r="G987" s="58"/>
      <c r="H987" s="58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8"/>
      <c r="U987" s="58"/>
      <c r="V987" s="58"/>
      <c r="W987" s="58"/>
      <c r="X987" s="58"/>
      <c r="Y987" s="58"/>
      <c r="Z987" s="58"/>
    </row>
    <row r="988" spans="1:26">
      <c r="A988" s="58"/>
      <c r="B988" s="58"/>
      <c r="C988" s="58"/>
      <c r="D988" s="58"/>
      <c r="E988" s="58"/>
      <c r="F988" s="58"/>
      <c r="G988" s="58"/>
      <c r="H988" s="58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8"/>
      <c r="U988" s="58"/>
      <c r="V988" s="58"/>
      <c r="W988" s="58"/>
      <c r="X988" s="58"/>
      <c r="Y988" s="58"/>
      <c r="Z988" s="58"/>
    </row>
    <row r="989" spans="1:26">
      <c r="A989" s="58"/>
      <c r="B989" s="58"/>
      <c r="C989" s="58"/>
      <c r="D989" s="58"/>
      <c r="E989" s="58"/>
      <c r="F989" s="58"/>
      <c r="G989" s="58"/>
      <c r="H989" s="58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8"/>
      <c r="U989" s="58"/>
      <c r="V989" s="58"/>
      <c r="W989" s="58"/>
      <c r="X989" s="58"/>
      <c r="Y989" s="58"/>
      <c r="Z989" s="58"/>
    </row>
    <row r="990" spans="1:26">
      <c r="A990" s="58"/>
      <c r="B990" s="58"/>
      <c r="C990" s="58"/>
      <c r="D990" s="58"/>
      <c r="E990" s="58"/>
      <c r="F990" s="58"/>
      <c r="G990" s="58"/>
      <c r="H990" s="58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8"/>
      <c r="U990" s="58"/>
      <c r="V990" s="58"/>
      <c r="W990" s="58"/>
      <c r="X990" s="58"/>
      <c r="Y990" s="58"/>
      <c r="Z990" s="58"/>
    </row>
    <row r="991" spans="1:26">
      <c r="A991" s="58"/>
      <c r="B991" s="58"/>
      <c r="C991" s="58"/>
      <c r="D991" s="58"/>
      <c r="E991" s="58"/>
      <c r="F991" s="58"/>
      <c r="G991" s="58"/>
      <c r="H991" s="58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8"/>
      <c r="U991" s="58"/>
      <c r="V991" s="58"/>
      <c r="W991" s="58"/>
      <c r="X991" s="58"/>
      <c r="Y991" s="58"/>
      <c r="Z991" s="58"/>
    </row>
    <row r="992" spans="1:26">
      <c r="A992" s="58"/>
      <c r="B992" s="58"/>
      <c r="C992" s="58"/>
      <c r="D992" s="58"/>
      <c r="E992" s="58"/>
      <c r="F992" s="58"/>
      <c r="G992" s="58"/>
      <c r="H992" s="58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8"/>
      <c r="U992" s="58"/>
      <c r="V992" s="58"/>
      <c r="W992" s="58"/>
      <c r="X992" s="58"/>
      <c r="Y992" s="58"/>
      <c r="Z992" s="58"/>
    </row>
    <row r="993" spans="1:26">
      <c r="A993" s="58"/>
      <c r="B993" s="58"/>
      <c r="C993" s="58"/>
      <c r="D993" s="58"/>
      <c r="E993" s="58"/>
      <c r="F993" s="58"/>
      <c r="G993" s="58"/>
      <c r="H993" s="58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8"/>
      <c r="U993" s="58"/>
      <c r="V993" s="58"/>
      <c r="W993" s="58"/>
      <c r="X993" s="58"/>
      <c r="Y993" s="58"/>
      <c r="Z993" s="58"/>
    </row>
    <row r="994" spans="1:26">
      <c r="A994" s="58"/>
      <c r="B994" s="58"/>
      <c r="C994" s="58"/>
      <c r="D994" s="58"/>
      <c r="E994" s="58"/>
      <c r="F994" s="58"/>
      <c r="G994" s="58"/>
      <c r="H994" s="58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8"/>
      <c r="U994" s="58"/>
      <c r="V994" s="58"/>
      <c r="W994" s="58"/>
      <c r="X994" s="58"/>
      <c r="Y994" s="58"/>
      <c r="Z994" s="58"/>
    </row>
    <row r="995" spans="1:26">
      <c r="A995" s="58"/>
      <c r="B995" s="58"/>
      <c r="C995" s="58"/>
      <c r="D995" s="58"/>
      <c r="E995" s="58"/>
      <c r="F995" s="58"/>
      <c r="G995" s="58"/>
      <c r="H995" s="58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8"/>
      <c r="U995" s="58"/>
      <c r="V995" s="58"/>
      <c r="W995" s="58"/>
      <c r="X995" s="58"/>
      <c r="Y995" s="58"/>
      <c r="Z995" s="58"/>
    </row>
    <row r="996" spans="1:26">
      <c r="A996" s="58"/>
      <c r="B996" s="58"/>
      <c r="C996" s="58"/>
      <c r="D996" s="58"/>
      <c r="E996" s="58"/>
      <c r="F996" s="58"/>
      <c r="G996" s="58"/>
      <c r="H996" s="58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8"/>
      <c r="U996" s="58"/>
      <c r="V996" s="58"/>
      <c r="W996" s="58"/>
      <c r="X996" s="58"/>
      <c r="Y996" s="58"/>
      <c r="Z996" s="58"/>
    </row>
    <row r="997" spans="1:26">
      <c r="A997" s="58"/>
      <c r="B997" s="58"/>
      <c r="C997" s="58"/>
      <c r="D997" s="58"/>
      <c r="E997" s="58"/>
      <c r="F997" s="58"/>
      <c r="G997" s="58"/>
      <c r="H997" s="58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8"/>
      <c r="U997" s="58"/>
      <c r="V997" s="58"/>
      <c r="W997" s="58"/>
      <c r="X997" s="58"/>
      <c r="Y997" s="58"/>
      <c r="Z997" s="58"/>
    </row>
    <row r="998" spans="1:26">
      <c r="A998" s="58"/>
      <c r="B998" s="58"/>
      <c r="C998" s="58"/>
      <c r="D998" s="58"/>
      <c r="E998" s="58"/>
      <c r="F998" s="58"/>
      <c r="G998" s="58"/>
      <c r="H998" s="58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8"/>
      <c r="U998" s="58"/>
      <c r="V998" s="58"/>
      <c r="W998" s="58"/>
      <c r="X998" s="58"/>
      <c r="Y998" s="58"/>
      <c r="Z998" s="58"/>
    </row>
    <row r="999" spans="1:26">
      <c r="A999" s="58"/>
      <c r="B999" s="58"/>
      <c r="C999" s="58"/>
      <c r="D999" s="58"/>
      <c r="E999" s="58"/>
      <c r="F999" s="58"/>
      <c r="G999" s="58"/>
      <c r="H999" s="58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8"/>
      <c r="U999" s="58"/>
      <c r="V999" s="58"/>
      <c r="W999" s="58"/>
      <c r="X999" s="58"/>
      <c r="Y999" s="58"/>
      <c r="Z999" s="58"/>
    </row>
    <row r="1000" spans="1:26">
      <c r="A1000" s="58"/>
      <c r="B1000" s="58"/>
      <c r="C1000" s="58"/>
      <c r="D1000" s="58"/>
      <c r="E1000" s="58"/>
      <c r="F1000" s="58"/>
      <c r="G1000" s="58"/>
      <c r="H1000" s="58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8"/>
      <c r="U1000" s="58"/>
      <c r="V1000" s="58"/>
      <c r="W1000" s="58"/>
      <c r="X1000" s="58"/>
      <c r="Y1000" s="58"/>
      <c r="Z1000" s="58"/>
    </row>
  </sheetData>
  <mergeCells count="15">
    <mergeCell ref="L26:L27"/>
    <mergeCell ref="J32:T37"/>
    <mergeCell ref="J2:J4"/>
    <mergeCell ref="K6:P6"/>
    <mergeCell ref="K7:P7"/>
    <mergeCell ref="K8:Q8"/>
    <mergeCell ref="K12:M12"/>
    <mergeCell ref="J17:J18"/>
    <mergeCell ref="K17:K18"/>
    <mergeCell ref="J20:J21"/>
    <mergeCell ref="K20:K21"/>
    <mergeCell ref="J24:J25"/>
    <mergeCell ref="K24:K25"/>
    <mergeCell ref="J26:J27"/>
    <mergeCell ref="K26:K27"/>
  </mergeCells>
  <hyperlinks>
    <hyperlink ref="B19" r:id="rId1" xr:uid="{00000000-0004-0000-0500-000000000000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S1000"/>
  <sheetViews>
    <sheetView tabSelected="1" workbookViewId="0">
      <selection activeCell="J18" sqref="J18"/>
    </sheetView>
  </sheetViews>
  <sheetFormatPr defaultColWidth="12.5703125" defaultRowHeight="15.75" customHeight="1"/>
  <cols>
    <col min="1" max="1" width="32" customWidth="1"/>
    <col min="2" max="2" width="23.28515625" customWidth="1"/>
    <col min="7" max="7" width="37.7109375" customWidth="1"/>
    <col min="11" max="11" width="17.42578125" customWidth="1"/>
    <col min="13" max="13" width="11.5703125" customWidth="1"/>
    <col min="14" max="14" width="14.7109375" customWidth="1"/>
    <col min="15" max="15" width="18.42578125" customWidth="1"/>
    <col min="16" max="16" width="19.5703125" customWidth="1"/>
    <col min="18" max="18" width="20.7109375" customWidth="1"/>
    <col min="22" max="22" width="15.85546875" customWidth="1"/>
    <col min="23" max="23" width="17.42578125" customWidth="1"/>
    <col min="24" max="28" width="21.140625" customWidth="1"/>
    <col min="29" max="29" width="19.28515625" customWidth="1"/>
    <col min="30" max="30" width="18.85546875" customWidth="1"/>
    <col min="32" max="32" width="15.42578125" customWidth="1"/>
    <col min="33" max="33" width="14.28515625" customWidth="1"/>
    <col min="34" max="34" width="17.140625" customWidth="1"/>
    <col min="38" max="38" width="23.7109375" customWidth="1"/>
  </cols>
  <sheetData>
    <row r="1" spans="1:45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</row>
    <row r="2" spans="1:45" ht="15.75" customHeight="1">
      <c r="A2" s="4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09" t="s">
        <v>202</v>
      </c>
      <c r="W2" s="110"/>
      <c r="X2" s="110"/>
      <c r="Y2" s="110"/>
      <c r="Z2" s="110"/>
      <c r="AA2" s="110"/>
      <c r="AB2" s="110"/>
      <c r="AC2" s="110"/>
      <c r="AD2" s="110"/>
      <c r="AE2" s="1"/>
      <c r="AF2" s="1"/>
      <c r="AG2" s="1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</row>
    <row r="3" spans="1:45" ht="15.75" customHeight="1">
      <c r="A3" s="95" t="s">
        <v>47</v>
      </c>
      <c r="B3" s="96" t="s">
        <v>203</v>
      </c>
      <c r="C3" s="1"/>
      <c r="D3" s="1"/>
      <c r="E3" s="1"/>
      <c r="F3" s="4" t="s">
        <v>204</v>
      </c>
      <c r="G3" s="1" t="s">
        <v>205</v>
      </c>
      <c r="H3" s="1">
        <f>$B$7*(1-$B$9)</f>
        <v>3118473.7169794538</v>
      </c>
      <c r="I3" s="1"/>
      <c r="J3" s="4" t="s">
        <v>206</v>
      </c>
      <c r="K3" s="109" t="s">
        <v>207</v>
      </c>
      <c r="L3" s="110"/>
      <c r="M3" s="110"/>
      <c r="N3" s="1"/>
      <c r="O3" s="1"/>
      <c r="P3" s="1"/>
      <c r="Q3" s="1"/>
      <c r="R3" s="1"/>
      <c r="S3" s="1"/>
      <c r="T3" s="4"/>
      <c r="U3" s="4" t="s">
        <v>208</v>
      </c>
      <c r="V3" s="58"/>
      <c r="W3" s="58"/>
      <c r="X3" s="58"/>
      <c r="Y3" s="58"/>
      <c r="Z3" s="58"/>
      <c r="AA3" s="58"/>
      <c r="AB3" s="58"/>
      <c r="AC3" s="58"/>
      <c r="AD3" s="58"/>
      <c r="AE3" s="1"/>
      <c r="AF3" s="1"/>
      <c r="AG3" s="1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</row>
    <row r="4" spans="1:45" ht="15.75" customHeight="1">
      <c r="A4" s="95" t="s">
        <v>209</v>
      </c>
      <c r="B4" s="96">
        <f>25000000</f>
        <v>25000000</v>
      </c>
      <c r="C4" s="1"/>
      <c r="D4" s="1"/>
      <c r="E4" s="1"/>
      <c r="F4" s="1"/>
      <c r="G4" s="1" t="str">
        <f>"PVAF(" &amp; TEXT(B10,"0.00%") &amp; ",8)"</f>
        <v>PVAF(5.59%,8)</v>
      </c>
      <c r="H4" s="1">
        <f>(1-(1+$B$10)^(-$B$5))/($B$10)</f>
        <v>6.3127419829268767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97" t="s">
        <v>169</v>
      </c>
      <c r="W4" s="97" t="s">
        <v>210</v>
      </c>
      <c r="X4" s="97" t="s">
        <v>211</v>
      </c>
      <c r="Y4" s="97" t="s">
        <v>212</v>
      </c>
      <c r="Z4" s="97" t="s">
        <v>213</v>
      </c>
      <c r="AA4" s="97" t="s">
        <v>214</v>
      </c>
      <c r="AB4" s="97" t="s">
        <v>215</v>
      </c>
      <c r="AC4" s="97" t="s">
        <v>216</v>
      </c>
      <c r="AD4" s="97" t="s">
        <v>217</v>
      </c>
      <c r="AE4" s="1"/>
      <c r="AF4" s="1"/>
      <c r="AG4" s="1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</row>
    <row r="5" spans="1:45" ht="15.75" customHeight="1">
      <c r="A5" s="95" t="s">
        <v>218</v>
      </c>
      <c r="B5" s="96">
        <f>8</f>
        <v>8</v>
      </c>
      <c r="C5" s="1"/>
      <c r="D5" s="1"/>
      <c r="E5" s="1"/>
      <c r="F5" s="1"/>
      <c r="G5" s="4" t="s">
        <v>219</v>
      </c>
      <c r="H5" s="4">
        <f>$H$3*$H$4</f>
        <v>19686119.955830224</v>
      </c>
      <c r="I5" s="1"/>
      <c r="J5" s="1"/>
      <c r="K5" s="98" t="s">
        <v>220</v>
      </c>
      <c r="L5" s="98" t="s">
        <v>221</v>
      </c>
      <c r="M5" s="98" t="s">
        <v>222</v>
      </c>
      <c r="N5" s="98" t="s">
        <v>223</v>
      </c>
      <c r="O5" s="98" t="str">
        <f>"Tax saving at " &amp; TEXT(B9,"0.00%")</f>
        <v>Tax saving at 22.04%</v>
      </c>
      <c r="P5" s="98" t="s">
        <v>224</v>
      </c>
      <c r="Q5" s="98" t="s">
        <v>225</v>
      </c>
      <c r="R5" s="98" t="str">
        <f>"Discount Rate at " &amp; TEXT(B10,"0.00%")</f>
        <v>Discount Rate at 5.59%</v>
      </c>
      <c r="S5" s="98" t="str">
        <f>"DCF at " &amp; TEXT(B10,"0.00%")</f>
        <v>DCF at 5.59%</v>
      </c>
      <c r="T5" s="1"/>
      <c r="U5" s="1"/>
      <c r="V5" s="99">
        <f>B10</f>
        <v>5.5863626928851107E-2</v>
      </c>
      <c r="W5" s="100">
        <v>8</v>
      </c>
      <c r="X5" s="100">
        <f>(1-(1+V5)^(-W5))/V5</f>
        <v>6.3127419829268767</v>
      </c>
      <c r="Y5" s="100">
        <f>($B$4-$B$6)/W5</f>
        <v>2812500</v>
      </c>
      <c r="Z5" s="100">
        <f>Y5*$B$9*X5</f>
        <v>3912783.7330387137</v>
      </c>
      <c r="AA5" s="100">
        <f>$H$14/((1+V5)^(W5))</f>
        <v>1261709.7850564646</v>
      </c>
      <c r="AB5" s="100">
        <f>$H$11*X5</f>
        <v>1476458.996687267</v>
      </c>
      <c r="AC5" s="100">
        <f>$B$4+AB5-Z5-AA5</f>
        <v>21301965.47859209</v>
      </c>
      <c r="AD5" s="100">
        <f>$H$3*X5</f>
        <v>19686119.955830224</v>
      </c>
      <c r="AE5" s="1"/>
      <c r="AF5" s="39"/>
      <c r="AG5" s="39"/>
      <c r="AH5" s="39"/>
      <c r="AI5" s="94"/>
      <c r="AJ5" s="94"/>
      <c r="AN5" s="94"/>
      <c r="AO5" s="94"/>
      <c r="AP5" s="94"/>
      <c r="AQ5" s="94"/>
      <c r="AR5" s="94"/>
      <c r="AS5" s="94"/>
    </row>
    <row r="6" spans="1:45" ht="15.75" customHeight="1">
      <c r="A6" s="95" t="s">
        <v>226</v>
      </c>
      <c r="B6" s="96">
        <f>2500000</f>
        <v>2500000</v>
      </c>
      <c r="C6" s="1"/>
      <c r="D6" s="1"/>
      <c r="E6" s="1"/>
      <c r="F6" s="1"/>
      <c r="G6" s="1"/>
      <c r="H6" s="1"/>
      <c r="I6" s="1"/>
      <c r="J6" s="1"/>
      <c r="K6" s="18">
        <v>0</v>
      </c>
      <c r="L6" s="18">
        <v>0</v>
      </c>
      <c r="M6" s="98"/>
      <c r="N6" s="98"/>
      <c r="O6" s="98"/>
      <c r="P6" s="98"/>
      <c r="Q6" s="98"/>
      <c r="R6" s="18">
        <v>1</v>
      </c>
      <c r="S6" s="18">
        <f>L6*R6</f>
        <v>0</v>
      </c>
      <c r="T6" s="1"/>
      <c r="U6" s="1"/>
      <c r="V6" s="140" t="s">
        <v>227</v>
      </c>
      <c r="W6" s="110"/>
      <c r="X6" s="110"/>
      <c r="Y6" s="110"/>
      <c r="Z6" s="110"/>
      <c r="AA6" s="110"/>
      <c r="AB6" s="110"/>
      <c r="AC6" s="110"/>
      <c r="AD6" s="121"/>
      <c r="AE6" s="1"/>
      <c r="AF6" s="39"/>
      <c r="AG6" s="101"/>
      <c r="AH6" s="101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</row>
    <row r="7" spans="1:45" ht="15.75" customHeight="1">
      <c r="A7" s="95" t="s">
        <v>228</v>
      </c>
      <c r="B7" s="96">
        <f>4000000</f>
        <v>4000000</v>
      </c>
      <c r="C7" s="1"/>
      <c r="D7" s="1"/>
      <c r="E7" s="1"/>
      <c r="F7" s="1"/>
      <c r="G7" s="1" t="s">
        <v>212</v>
      </c>
      <c r="H7" s="1">
        <f>($B$4-$B$6)/$B$5</f>
        <v>2812500</v>
      </c>
      <c r="I7" s="1"/>
      <c r="J7" s="1"/>
      <c r="K7" s="18">
        <v>1</v>
      </c>
      <c r="L7" s="18">
        <f t="shared" ref="L7:L14" si="0">-$B$7</f>
        <v>-4000000</v>
      </c>
      <c r="M7" s="18">
        <v>0</v>
      </c>
      <c r="N7" s="18">
        <f t="shared" ref="N7:N14" si="1">L7-M7</f>
        <v>-4000000</v>
      </c>
      <c r="O7" s="18">
        <f t="shared" ref="O7:O14" si="2">-N7*($B$9)</f>
        <v>881526.28302054619</v>
      </c>
      <c r="P7" s="18">
        <f t="shared" ref="P7:P14" si="3">N7+O7</f>
        <v>-3118473.7169794538</v>
      </c>
      <c r="Q7" s="18">
        <f t="shared" ref="Q7:Q14" si="4">P7+M7</f>
        <v>-3118473.7169794538</v>
      </c>
      <c r="R7" s="18">
        <f t="shared" ref="R7:R14" si="5">(1)/(1+$B$10)^K7</f>
        <v>0.94709200553546924</v>
      </c>
      <c r="S7" s="18">
        <f t="shared" ref="S7:S14" si="6">Q7*R7</f>
        <v>-2953481.5268237204</v>
      </c>
      <c r="T7" s="1"/>
      <c r="U7" s="1"/>
      <c r="V7" s="99">
        <f>B10-0.01</f>
        <v>4.5863626928851105E-2</v>
      </c>
      <c r="W7" s="100">
        <v>8</v>
      </c>
      <c r="X7" s="100">
        <f t="shared" ref="X7:X8" si="7">(1-(1+V7)^(-W7))/V7</f>
        <v>6.572675515100129</v>
      </c>
      <c r="Y7" s="100">
        <f t="shared" ref="Y7:Y8" si="8">($B$4-$B$6)/W7</f>
        <v>2812500</v>
      </c>
      <c r="Z7" s="100">
        <f t="shared" ref="Z7:Z8" si="9">Y7*$B$9*X7</f>
        <v>4073896.5583544793</v>
      </c>
      <c r="AA7" s="100">
        <f t="shared" ref="AA7:AA8" si="10">$H$14/((1+V7)^(W7))</f>
        <v>1361512.4926501035</v>
      </c>
      <c r="AB7" s="100">
        <f t="shared" ref="AB7:AB8" si="11">$H$11*X7</f>
        <v>1537253.688305561</v>
      </c>
      <c r="AC7" s="100">
        <f t="shared" ref="AC7:AC8" si="12">$B$4+AB7-Z7-AA7</f>
        <v>21101844.637300979</v>
      </c>
      <c r="AD7" s="100">
        <f t="shared" ref="AD7:AD8" si="13">$H$3*X7</f>
        <v>20496715.844074145</v>
      </c>
      <c r="AE7" s="1"/>
      <c r="AG7" s="101"/>
      <c r="AH7" s="101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</row>
    <row r="8" spans="1:45" ht="15.75" customHeight="1">
      <c r="A8" s="95" t="s">
        <v>229</v>
      </c>
      <c r="B8" s="96">
        <f>300000</f>
        <v>300000</v>
      </c>
      <c r="C8" s="1"/>
      <c r="D8" s="1"/>
      <c r="E8" s="1"/>
      <c r="F8" s="1"/>
      <c r="G8" s="1" t="s">
        <v>230</v>
      </c>
      <c r="H8" s="1">
        <f>$B$9*$H$7</f>
        <v>619823.16774882155</v>
      </c>
      <c r="I8" s="1"/>
      <c r="J8" s="1"/>
      <c r="K8" s="18">
        <v>2</v>
      </c>
      <c r="L8" s="18">
        <f t="shared" si="0"/>
        <v>-4000000</v>
      </c>
      <c r="M8" s="18">
        <v>0</v>
      </c>
      <c r="N8" s="18">
        <f t="shared" si="1"/>
        <v>-4000000</v>
      </c>
      <c r="O8" s="18">
        <f t="shared" si="2"/>
        <v>881526.28302054619</v>
      </c>
      <c r="P8" s="18">
        <f t="shared" si="3"/>
        <v>-3118473.7169794538</v>
      </c>
      <c r="Q8" s="18">
        <f t="shared" si="4"/>
        <v>-3118473.7169794538</v>
      </c>
      <c r="R8" s="18">
        <f t="shared" si="5"/>
        <v>0.89698326694919728</v>
      </c>
      <c r="S8" s="18">
        <f t="shared" si="6"/>
        <v>-2797218.7425514371</v>
      </c>
      <c r="T8" s="1"/>
      <c r="U8" s="1"/>
      <c r="V8" s="99">
        <f>B10+0.01</f>
        <v>6.5863626928851102E-2</v>
      </c>
      <c r="W8" s="100">
        <v>8</v>
      </c>
      <c r="X8" s="100">
        <f t="shared" si="7"/>
        <v>6.0682112076205312</v>
      </c>
      <c r="Y8" s="100">
        <f t="shared" si="8"/>
        <v>2812500</v>
      </c>
      <c r="Z8" s="100">
        <f t="shared" si="9"/>
        <v>3761217.8932762593</v>
      </c>
      <c r="AA8" s="100">
        <f t="shared" si="10"/>
        <v>1170062.2550146722</v>
      </c>
      <c r="AB8" s="100">
        <f t="shared" si="11"/>
        <v>1419266.7870033584</v>
      </c>
      <c r="AC8" s="100">
        <f t="shared" si="12"/>
        <v>21487986.638712425</v>
      </c>
      <c r="AD8" s="100">
        <f t="shared" si="13"/>
        <v>18923557.160044778</v>
      </c>
      <c r="AE8" s="1"/>
      <c r="AF8" s="39"/>
      <c r="AG8" s="101"/>
      <c r="AH8" s="101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</row>
    <row r="9" spans="1:45" ht="15.75" customHeight="1">
      <c r="A9" s="95" t="s">
        <v>231</v>
      </c>
      <c r="B9" s="102">
        <f>'Cost of Debt'!C15</f>
        <v>0.22038157075513654</v>
      </c>
      <c r="C9" s="1"/>
      <c r="D9" s="1"/>
      <c r="E9" s="1"/>
      <c r="F9" s="1"/>
      <c r="G9" s="4" t="s">
        <v>232</v>
      </c>
      <c r="H9" s="1">
        <f>$H$4*$H$8</f>
        <v>3912783.7330387137</v>
      </c>
      <c r="I9" s="1"/>
      <c r="J9" s="1"/>
      <c r="K9" s="18">
        <v>3</v>
      </c>
      <c r="L9" s="18">
        <f t="shared" si="0"/>
        <v>-4000000</v>
      </c>
      <c r="M9" s="18">
        <v>0</v>
      </c>
      <c r="N9" s="18">
        <f t="shared" si="1"/>
        <v>-4000000</v>
      </c>
      <c r="O9" s="18">
        <f t="shared" si="2"/>
        <v>881526.28302054619</v>
      </c>
      <c r="P9" s="18">
        <f t="shared" si="3"/>
        <v>-3118473.7169794538</v>
      </c>
      <c r="Q9" s="18">
        <f t="shared" si="4"/>
        <v>-3118473.7169794538</v>
      </c>
      <c r="R9" s="18">
        <f t="shared" si="5"/>
        <v>0.84952568122667238</v>
      </c>
      <c r="S9" s="18">
        <f t="shared" si="6"/>
        <v>-2649223.5088044438</v>
      </c>
      <c r="T9" s="1"/>
      <c r="U9" s="1"/>
      <c r="V9" s="140" t="s">
        <v>233</v>
      </c>
      <c r="W9" s="110"/>
      <c r="X9" s="110"/>
      <c r="Y9" s="110"/>
      <c r="Z9" s="110"/>
      <c r="AA9" s="110"/>
      <c r="AB9" s="110"/>
      <c r="AC9" s="110"/>
      <c r="AD9" s="121"/>
      <c r="AE9" s="1"/>
      <c r="AF9" s="1"/>
      <c r="AG9" s="1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</row>
    <row r="10" spans="1:45" ht="15.75" customHeight="1">
      <c r="A10" s="95" t="s">
        <v>234</v>
      </c>
      <c r="B10" s="102">
        <f>'PART A'!J12</f>
        <v>5.5863626928851107E-2</v>
      </c>
      <c r="C10" s="1"/>
      <c r="D10" s="1"/>
      <c r="E10" s="1"/>
      <c r="F10" s="1"/>
      <c r="G10" s="1"/>
      <c r="H10" s="1"/>
      <c r="I10" s="1"/>
      <c r="J10" s="1"/>
      <c r="K10" s="18">
        <v>4</v>
      </c>
      <c r="L10" s="18">
        <f t="shared" si="0"/>
        <v>-4000000</v>
      </c>
      <c r="M10" s="18">
        <v>0</v>
      </c>
      <c r="N10" s="18">
        <f t="shared" si="1"/>
        <v>-4000000</v>
      </c>
      <c r="O10" s="18">
        <f t="shared" si="2"/>
        <v>881526.28302054619</v>
      </c>
      <c r="P10" s="18">
        <f t="shared" si="3"/>
        <v>-3118473.7169794538</v>
      </c>
      <c r="Q10" s="18">
        <f t="shared" si="4"/>
        <v>-3118473.7169794538</v>
      </c>
      <c r="R10" s="18">
        <f t="shared" si="5"/>
        <v>0.80457898118685478</v>
      </c>
      <c r="S10" s="18">
        <f t="shared" si="6"/>
        <v>-2509058.4060653131</v>
      </c>
      <c r="T10" s="1"/>
      <c r="U10" s="1"/>
      <c r="V10" s="99">
        <f>B10</f>
        <v>5.5863626928851107E-2</v>
      </c>
      <c r="W10" s="100">
        <v>6</v>
      </c>
      <c r="X10" s="100">
        <f t="shared" ref="X10:X11" si="14">(1-(1+V10)^(-W10))/V10</f>
        <v>4.9818841388657749</v>
      </c>
      <c r="Y10" s="100">
        <f t="shared" ref="Y10:Y11" si="15">($B$4-$B$6)/W10</f>
        <v>3750000</v>
      </c>
      <c r="Z10" s="100">
        <f t="shared" ref="Z10:Z11" si="16">Y10*$B$9*X10</f>
        <v>4117182.9444125257</v>
      </c>
      <c r="AA10" s="100">
        <f t="shared" ref="AA10:AA11" si="17">$H$14/((1+V10)^(W10))</f>
        <v>1406614.6287742562</v>
      </c>
      <c r="AB10" s="100">
        <f t="shared" ref="AB10:AB11" si="18">$H$11*X10</f>
        <v>1165190.6061067304</v>
      </c>
      <c r="AC10" s="100">
        <f t="shared" ref="AC10:AC11" si="19">$B$4+AB10-Z10-AA10</f>
        <v>20641393.032919951</v>
      </c>
      <c r="AD10" s="100">
        <f t="shared" ref="AD10:AD11" si="20">$H$3*X10</f>
        <v>15535874.748089738</v>
      </c>
      <c r="AE10" s="1"/>
      <c r="AF10" s="1"/>
      <c r="AG10" s="1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</row>
    <row r="11" spans="1:45" ht="15.75" customHeight="1">
      <c r="A11" s="1"/>
      <c r="B11" s="1"/>
      <c r="C11" s="1"/>
      <c r="D11" s="1"/>
      <c r="E11" s="1"/>
      <c r="F11" s="1"/>
      <c r="G11" s="1" t="s">
        <v>235</v>
      </c>
      <c r="H11" s="1">
        <f>$B$8*(1-$B$9)</f>
        <v>233885.52877345905</v>
      </c>
      <c r="I11" s="1"/>
      <c r="J11" s="1"/>
      <c r="K11" s="18">
        <v>5</v>
      </c>
      <c r="L11" s="18">
        <f t="shared" si="0"/>
        <v>-4000000</v>
      </c>
      <c r="M11" s="18">
        <v>0</v>
      </c>
      <c r="N11" s="18">
        <f t="shared" si="1"/>
        <v>-4000000</v>
      </c>
      <c r="O11" s="18">
        <f t="shared" si="2"/>
        <v>881526.28302054619</v>
      </c>
      <c r="P11" s="18">
        <f t="shared" si="3"/>
        <v>-3118473.7169794538</v>
      </c>
      <c r="Q11" s="18">
        <f t="shared" si="4"/>
        <v>-3118473.7169794538</v>
      </c>
      <c r="R11" s="18">
        <f t="shared" si="5"/>
        <v>0.76201032090394283</v>
      </c>
      <c r="S11" s="18">
        <f t="shared" si="6"/>
        <v>-2376309.1578060249</v>
      </c>
      <c r="T11" s="1"/>
      <c r="U11" s="1"/>
      <c r="V11" s="99">
        <f>B10</f>
        <v>5.5863626928851107E-2</v>
      </c>
      <c r="W11" s="100">
        <v>10</v>
      </c>
      <c r="X11" s="100">
        <f t="shared" si="14"/>
        <v>7.5064991997377692</v>
      </c>
      <c r="Y11" s="100">
        <f t="shared" si="15"/>
        <v>2250000</v>
      </c>
      <c r="Z11" s="100">
        <f t="shared" si="16"/>
        <v>3722161.6901483661</v>
      </c>
      <c r="AA11" s="100">
        <f t="shared" si="17"/>
        <v>1131732.5649417171</v>
      </c>
      <c r="AB11" s="100">
        <f t="shared" si="18"/>
        <v>1755661.5345682155</v>
      </c>
      <c r="AC11" s="100">
        <f t="shared" si="19"/>
        <v>21901767.279478136</v>
      </c>
      <c r="AD11" s="100">
        <f t="shared" si="20"/>
        <v>23408820.460909538</v>
      </c>
      <c r="AE11" s="1"/>
      <c r="AF11" s="1"/>
      <c r="AG11" s="1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</row>
    <row r="12" spans="1:45" ht="15.75" customHeight="1">
      <c r="A12" s="4"/>
      <c r="B12" s="1"/>
      <c r="C12" s="1"/>
      <c r="D12" s="1"/>
      <c r="E12" s="1"/>
      <c r="F12" s="1"/>
      <c r="G12" s="4" t="s">
        <v>236</v>
      </c>
      <c r="H12" s="1">
        <f>$H$4*$H$11</f>
        <v>1476458.996687267</v>
      </c>
      <c r="I12" s="1"/>
      <c r="J12" s="1"/>
      <c r="K12" s="18">
        <v>6</v>
      </c>
      <c r="L12" s="18">
        <f t="shared" si="0"/>
        <v>-4000000</v>
      </c>
      <c r="M12" s="18">
        <v>0</v>
      </c>
      <c r="N12" s="18">
        <f t="shared" si="1"/>
        <v>-4000000</v>
      </c>
      <c r="O12" s="18">
        <f t="shared" si="2"/>
        <v>881526.28302054619</v>
      </c>
      <c r="P12" s="18">
        <f t="shared" si="3"/>
        <v>-3118473.7169794538</v>
      </c>
      <c r="Q12" s="18">
        <f t="shared" si="4"/>
        <v>-3118473.7169794538</v>
      </c>
      <c r="R12" s="18">
        <f t="shared" si="5"/>
        <v>0.72169388306364168</v>
      </c>
      <c r="S12" s="18">
        <f t="shared" si="6"/>
        <v>-2250583.40603881</v>
      </c>
      <c r="T12" s="1"/>
      <c r="U12" s="1"/>
      <c r="V12" s="103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</row>
    <row r="13" spans="1:45" ht="15.75" customHeight="1">
      <c r="A13" s="4"/>
      <c r="B13" s="103"/>
      <c r="C13" s="1"/>
      <c r="D13" s="1"/>
      <c r="E13" s="1"/>
      <c r="F13" s="1"/>
      <c r="G13" s="1"/>
      <c r="H13" s="1"/>
      <c r="I13" s="1"/>
      <c r="J13" s="1"/>
      <c r="K13" s="18">
        <v>7</v>
      </c>
      <c r="L13" s="18">
        <f t="shared" si="0"/>
        <v>-4000000</v>
      </c>
      <c r="M13" s="18">
        <v>0</v>
      </c>
      <c r="N13" s="18">
        <f t="shared" si="1"/>
        <v>-4000000</v>
      </c>
      <c r="O13" s="18">
        <f t="shared" si="2"/>
        <v>881526.28302054619</v>
      </c>
      <c r="P13" s="18">
        <f t="shared" si="3"/>
        <v>-3118473.7169794538</v>
      </c>
      <c r="Q13" s="18">
        <f t="shared" si="4"/>
        <v>-3118473.7169794538</v>
      </c>
      <c r="R13" s="18">
        <f t="shared" si="5"/>
        <v>0.68351050709342487</v>
      </c>
      <c r="S13" s="18">
        <f t="shared" si="6"/>
        <v>-2131509.5516501442</v>
      </c>
      <c r="T13" s="1"/>
      <c r="U13" s="1"/>
      <c r="V13" s="103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</row>
    <row r="14" spans="1:45" ht="15.75" customHeight="1">
      <c r="A14" s="1"/>
      <c r="B14" s="1"/>
      <c r="C14" s="1"/>
      <c r="D14" s="1"/>
      <c r="E14" s="1"/>
      <c r="F14" s="1"/>
      <c r="G14" s="1" t="s">
        <v>237</v>
      </c>
      <c r="H14" s="1">
        <f>$B$6*(1-$B$9)</f>
        <v>1949046.0731121586</v>
      </c>
      <c r="I14" s="1"/>
      <c r="J14" s="1"/>
      <c r="K14" s="18">
        <v>8</v>
      </c>
      <c r="L14" s="18">
        <f t="shared" si="0"/>
        <v>-4000000</v>
      </c>
      <c r="M14" s="18">
        <v>0</v>
      </c>
      <c r="N14" s="18">
        <f t="shared" si="1"/>
        <v>-4000000</v>
      </c>
      <c r="O14" s="18">
        <f t="shared" si="2"/>
        <v>881526.28302054619</v>
      </c>
      <c r="P14" s="18">
        <f t="shared" si="3"/>
        <v>-3118473.7169794538</v>
      </c>
      <c r="Q14" s="18">
        <f t="shared" si="4"/>
        <v>-3118473.7169794538</v>
      </c>
      <c r="R14" s="18">
        <f t="shared" si="5"/>
        <v>0.64734733696767721</v>
      </c>
      <c r="S14" s="18">
        <f t="shared" si="6"/>
        <v>-2018735.6560903434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</row>
    <row r="15" spans="1:45" ht="15.75" customHeight="1">
      <c r="A15" s="1"/>
      <c r="B15" s="1"/>
      <c r="C15" s="1"/>
      <c r="D15" s="1"/>
      <c r="E15" s="1"/>
      <c r="F15" s="1"/>
      <c r="G15" s="4" t="s">
        <v>238</v>
      </c>
      <c r="H15" s="6">
        <f>$H$14/((1+$B$10)^$B$5)</f>
        <v>1261709.7850564646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98">
        <f>SUM(S6:S14)</f>
        <v>-19686119.955830239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</row>
    <row r="16" spans="1:45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</row>
    <row r="17" spans="1:45" ht="15.75" customHeight="1">
      <c r="A17" s="1"/>
      <c r="B17" s="1"/>
      <c r="C17" s="1"/>
      <c r="D17" s="1"/>
      <c r="E17" s="1"/>
      <c r="F17" s="1"/>
      <c r="G17" s="4" t="s">
        <v>216</v>
      </c>
      <c r="H17" s="4">
        <f>$B$4+$H$12-$H$9-$H$15</f>
        <v>21301965.47859209</v>
      </c>
      <c r="I17" s="1"/>
      <c r="J17" s="1"/>
      <c r="K17" s="4"/>
      <c r="L17" s="4"/>
      <c r="M17" s="1"/>
      <c r="N17" s="1"/>
      <c r="O17" s="1"/>
      <c r="P17" s="1"/>
      <c r="Q17" s="1"/>
      <c r="R17" s="1"/>
      <c r="S17" s="1"/>
      <c r="T17" s="1"/>
      <c r="U17" s="1"/>
      <c r="V17" s="104" t="s">
        <v>169</v>
      </c>
      <c r="W17" s="104" t="s">
        <v>217</v>
      </c>
      <c r="X17" s="104" t="s">
        <v>216</v>
      </c>
      <c r="Y17" s="1"/>
      <c r="Z17" s="57"/>
      <c r="AA17" s="57"/>
      <c r="AB17" s="104" t="s">
        <v>210</v>
      </c>
      <c r="AC17" s="104" t="s">
        <v>217</v>
      </c>
      <c r="AD17" s="104" t="s">
        <v>216</v>
      </c>
      <c r="AE17" s="1"/>
      <c r="AF17" s="1"/>
      <c r="AG17" s="1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</row>
    <row r="18" spans="1:45" ht="15.75" customHeight="1">
      <c r="A18" s="1"/>
      <c r="B18" s="1"/>
      <c r="C18" s="1"/>
      <c r="D18" s="1"/>
      <c r="E18" s="1"/>
      <c r="F18" s="1"/>
      <c r="G18" s="1" t="s">
        <v>239</v>
      </c>
      <c r="H18" s="1"/>
      <c r="I18" s="1"/>
      <c r="J18" s="1"/>
      <c r="K18" s="109" t="s">
        <v>240</v>
      </c>
      <c r="L18" s="110"/>
      <c r="M18" s="110"/>
      <c r="N18" s="1"/>
      <c r="O18" s="1"/>
      <c r="P18" s="1"/>
      <c r="Q18" s="1"/>
      <c r="R18" s="1"/>
      <c r="S18" s="1"/>
      <c r="T18" s="1"/>
      <c r="U18" s="1"/>
      <c r="V18" s="105">
        <f>$V$7</f>
        <v>4.5863626928851105E-2</v>
      </c>
      <c r="W18" s="106">
        <f>$AD$7</f>
        <v>20496715.844074145</v>
      </c>
      <c r="X18" s="106">
        <f>$AC$7</f>
        <v>21101844.637300979</v>
      </c>
      <c r="Y18" s="1"/>
      <c r="Z18" s="57"/>
      <c r="AA18" s="107"/>
      <c r="AB18" s="108" t="s">
        <v>241</v>
      </c>
      <c r="AC18" s="106">
        <f>$AD$10</f>
        <v>15535874.748089738</v>
      </c>
      <c r="AD18" s="106">
        <f>$AC$10</f>
        <v>20641393.032919951</v>
      </c>
      <c r="AE18" s="1"/>
      <c r="AF18" s="1"/>
      <c r="AG18" s="1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</row>
    <row r="19" spans="1:45" ht="15.75" customHeight="1">
      <c r="A19" s="1"/>
      <c r="B19" s="1"/>
      <c r="C19" s="1"/>
      <c r="D19" s="1"/>
      <c r="E19" s="1"/>
      <c r="F19" s="1"/>
      <c r="G19" s="4"/>
      <c r="H19" s="4"/>
      <c r="I19" s="1"/>
      <c r="J19" s="1"/>
      <c r="K19" s="4"/>
      <c r="L19" s="1"/>
      <c r="M19" s="1"/>
      <c r="N19" s="1" t="s">
        <v>242</v>
      </c>
      <c r="O19" s="1" t="s">
        <v>243</v>
      </c>
      <c r="P19" s="1" t="s">
        <v>244</v>
      </c>
      <c r="Q19" s="1" t="s">
        <v>245</v>
      </c>
      <c r="R19" s="1"/>
      <c r="S19" s="1"/>
      <c r="T19" s="1"/>
      <c r="U19" s="1"/>
      <c r="V19" s="105">
        <f>V5</f>
        <v>5.5863626928851107E-2</v>
      </c>
      <c r="W19" s="106">
        <f>AD5</f>
        <v>19686119.955830224</v>
      </c>
      <c r="X19" s="106">
        <f>AC5</f>
        <v>21301965.47859209</v>
      </c>
      <c r="Y19" s="1"/>
      <c r="Z19" s="57"/>
      <c r="AA19" s="107"/>
      <c r="AB19" s="108" t="s">
        <v>246</v>
      </c>
      <c r="AC19" s="106">
        <f>AD5</f>
        <v>19686119.955830224</v>
      </c>
      <c r="AD19" s="108">
        <f>AC5</f>
        <v>21301965.47859209</v>
      </c>
      <c r="AE19" s="1"/>
      <c r="AF19" s="1"/>
      <c r="AG19" s="1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</row>
    <row r="20" spans="1:45" ht="15.75" customHeight="1">
      <c r="A20" s="1"/>
      <c r="B20" s="1"/>
      <c r="C20" s="1"/>
      <c r="D20" s="1"/>
      <c r="E20" s="1"/>
      <c r="F20" s="1"/>
      <c r="G20" s="4"/>
      <c r="H20" s="1"/>
      <c r="I20" s="1"/>
      <c r="J20" s="1"/>
      <c r="K20" s="98" t="s">
        <v>220</v>
      </c>
      <c r="L20" s="98" t="s">
        <v>221</v>
      </c>
      <c r="M20" s="98" t="s">
        <v>222</v>
      </c>
      <c r="N20" s="98" t="s">
        <v>223</v>
      </c>
      <c r="O20" s="98" t="str">
        <f>"Tax saving at " &amp; TEXT(B9,"0.00%")</f>
        <v>Tax saving at 22.04%</v>
      </c>
      <c r="P20" s="98" t="s">
        <v>224</v>
      </c>
      <c r="Q20" s="98" t="s">
        <v>225</v>
      </c>
      <c r="R20" s="98" t="str">
        <f>"Discount Rate at " &amp; TEXT(B10,"0.00%")</f>
        <v>Discount Rate at 5.59%</v>
      </c>
      <c r="S20" s="98" t="str">
        <f>"DCF at " &amp; TEXT(B10,"0.00%")</f>
        <v>DCF at 5.59%</v>
      </c>
      <c r="T20" s="1"/>
      <c r="U20" s="1"/>
      <c r="V20" s="105">
        <f>$V$8</f>
        <v>6.5863626928851102E-2</v>
      </c>
      <c r="W20" s="106">
        <f>$AD$8</f>
        <v>18923557.160044778</v>
      </c>
      <c r="X20" s="106">
        <f>$AC$8</f>
        <v>21487986.638712425</v>
      </c>
      <c r="Y20" s="1"/>
      <c r="Z20" s="57"/>
      <c r="AA20" s="107"/>
      <c r="AB20" s="108" t="s">
        <v>247</v>
      </c>
      <c r="AC20" s="106">
        <f>$AD$11</f>
        <v>23408820.460909538</v>
      </c>
      <c r="AD20" s="106">
        <f>$AC$11</f>
        <v>21901767.279478136</v>
      </c>
      <c r="AE20" s="1"/>
      <c r="AF20" s="1"/>
      <c r="AG20" s="1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</row>
    <row r="21" spans="1:4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8">
        <v>0</v>
      </c>
      <c r="L21" s="18">
        <f>-B4</f>
        <v>-25000000</v>
      </c>
      <c r="M21" s="98"/>
      <c r="N21" s="98"/>
      <c r="O21" s="98"/>
      <c r="P21" s="98"/>
      <c r="Q21" s="98"/>
      <c r="R21" s="18">
        <v>1</v>
      </c>
      <c r="S21" s="18">
        <f>L21*R21</f>
        <v>-25000000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</row>
    <row r="22" spans="1:45" ht="15.75" customHeight="1">
      <c r="A22" s="1"/>
      <c r="B22" s="1"/>
      <c r="C22" s="1"/>
      <c r="D22" s="1"/>
      <c r="E22" s="1"/>
      <c r="F22" s="4"/>
      <c r="G22" s="4" t="s">
        <v>217</v>
      </c>
      <c r="H22" s="4">
        <f>$H$3*$H$4</f>
        <v>19686119.955830224</v>
      </c>
      <c r="I22" s="1"/>
      <c r="J22" s="1"/>
      <c r="K22" s="18">
        <v>1</v>
      </c>
      <c r="L22" s="18">
        <f t="shared" ref="L22:L28" si="21">-$B$8</f>
        <v>-300000</v>
      </c>
      <c r="M22" s="18">
        <f t="shared" ref="M22:M29" si="22">($B$4-$B$6)/$B$5</f>
        <v>2812500</v>
      </c>
      <c r="N22" s="18">
        <f t="shared" ref="N22:N29" si="23">L22-M22</f>
        <v>-3112500</v>
      </c>
      <c r="O22" s="18">
        <f t="shared" ref="O22:O29" si="24">-N22*($B$9)</f>
        <v>685937.63897536241</v>
      </c>
      <c r="P22" s="18">
        <f t="shared" ref="P22:P29" si="25">N22+O22</f>
        <v>-2426562.3610246377</v>
      </c>
      <c r="Q22" s="18">
        <f t="shared" ref="Q22:Q29" si="26">P22+M22</f>
        <v>385937.63897536229</v>
      </c>
      <c r="R22" s="18">
        <f t="shared" ref="R22:R29" si="27">(1)/(1+$B$10)^K22</f>
        <v>0.94709200553546924</v>
      </c>
      <c r="S22" s="18">
        <f t="shared" ref="S22:S29" si="28">Q22*R22</f>
        <v>365518.45250879973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</row>
    <row r="23" spans="1:45" ht="15.75" customHeight="1">
      <c r="A23" s="1"/>
      <c r="B23" s="1"/>
      <c r="C23" s="1"/>
      <c r="D23" s="1"/>
      <c r="E23" s="1"/>
      <c r="F23" s="1"/>
      <c r="G23" s="4" t="s">
        <v>216</v>
      </c>
      <c r="H23" s="4">
        <f>$B$4+$H$12-$H$9-$H$15</f>
        <v>21301965.47859209</v>
      </c>
      <c r="I23" s="1"/>
      <c r="J23" s="1"/>
      <c r="K23" s="18">
        <v>2</v>
      </c>
      <c r="L23" s="18">
        <f t="shared" si="21"/>
        <v>-300000</v>
      </c>
      <c r="M23" s="18">
        <f t="shared" si="22"/>
        <v>2812500</v>
      </c>
      <c r="N23" s="18">
        <f t="shared" si="23"/>
        <v>-3112500</v>
      </c>
      <c r="O23" s="18">
        <f t="shared" si="24"/>
        <v>685937.63897536241</v>
      </c>
      <c r="P23" s="18">
        <f t="shared" si="25"/>
        <v>-2426562.3610246377</v>
      </c>
      <c r="Q23" s="18">
        <f t="shared" si="26"/>
        <v>385937.63897536229</v>
      </c>
      <c r="R23" s="18">
        <f t="shared" si="27"/>
        <v>0.89698326694919728</v>
      </c>
      <c r="S23" s="18">
        <f t="shared" si="28"/>
        <v>346179.60424678033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</row>
    <row r="24" spans="1:4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8">
        <v>3</v>
      </c>
      <c r="L24" s="18">
        <f t="shared" si="21"/>
        <v>-300000</v>
      </c>
      <c r="M24" s="18">
        <f t="shared" si="22"/>
        <v>2812500</v>
      </c>
      <c r="N24" s="18">
        <f t="shared" si="23"/>
        <v>-3112500</v>
      </c>
      <c r="O24" s="18">
        <f t="shared" si="24"/>
        <v>685937.63897536241</v>
      </c>
      <c r="P24" s="18">
        <f t="shared" si="25"/>
        <v>-2426562.3610246377</v>
      </c>
      <c r="Q24" s="18">
        <f t="shared" si="26"/>
        <v>385937.63897536229</v>
      </c>
      <c r="R24" s="18">
        <f t="shared" si="27"/>
        <v>0.84952568122667238</v>
      </c>
      <c r="S24" s="18">
        <f t="shared" si="28"/>
        <v>327863.93566155818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</row>
    <row r="25" spans="1:4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8">
        <v>4</v>
      </c>
      <c r="L25" s="18">
        <f t="shared" si="21"/>
        <v>-300000</v>
      </c>
      <c r="M25" s="18">
        <f t="shared" si="22"/>
        <v>2812500</v>
      </c>
      <c r="N25" s="18">
        <f t="shared" si="23"/>
        <v>-3112500</v>
      </c>
      <c r="O25" s="18">
        <f t="shared" si="24"/>
        <v>685937.63897536241</v>
      </c>
      <c r="P25" s="18">
        <f t="shared" si="25"/>
        <v>-2426562.3610246377</v>
      </c>
      <c r="Q25" s="18">
        <f t="shared" si="26"/>
        <v>385937.63897536229</v>
      </c>
      <c r="R25" s="18">
        <f t="shared" si="27"/>
        <v>0.80457898118685478</v>
      </c>
      <c r="S25" s="18">
        <f t="shared" si="28"/>
        <v>310517.31236845715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</row>
    <row r="26" spans="1:45" ht="15.75" customHeight="1">
      <c r="A26" s="1"/>
      <c r="B26" s="1"/>
      <c r="C26" s="1"/>
      <c r="D26" s="1"/>
      <c r="E26" s="1"/>
      <c r="F26" s="4"/>
      <c r="G26" s="1"/>
      <c r="H26" s="1"/>
      <c r="I26" s="1"/>
      <c r="J26" s="1"/>
      <c r="K26" s="18">
        <v>5</v>
      </c>
      <c r="L26" s="18">
        <f t="shared" si="21"/>
        <v>-300000</v>
      </c>
      <c r="M26" s="18">
        <f t="shared" si="22"/>
        <v>2812500</v>
      </c>
      <c r="N26" s="18">
        <f t="shared" si="23"/>
        <v>-3112500</v>
      </c>
      <c r="O26" s="18">
        <f t="shared" si="24"/>
        <v>685937.63897536241</v>
      </c>
      <c r="P26" s="18">
        <f t="shared" si="25"/>
        <v>-2426562.3610246377</v>
      </c>
      <c r="Q26" s="18">
        <f t="shared" si="26"/>
        <v>385937.63897536229</v>
      </c>
      <c r="R26" s="18">
        <f t="shared" si="27"/>
        <v>0.76201032090394283</v>
      </c>
      <c r="S26" s="18">
        <f t="shared" si="28"/>
        <v>294088.46412452584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39"/>
      <c r="AG26" s="39"/>
      <c r="AH26" s="39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</row>
    <row r="27" spans="1:4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8">
        <v>6</v>
      </c>
      <c r="L27" s="18">
        <f t="shared" si="21"/>
        <v>-300000</v>
      </c>
      <c r="M27" s="18">
        <f t="shared" si="22"/>
        <v>2812500</v>
      </c>
      <c r="N27" s="18">
        <f t="shared" si="23"/>
        <v>-3112500</v>
      </c>
      <c r="O27" s="18">
        <f t="shared" si="24"/>
        <v>685937.63897536241</v>
      </c>
      <c r="P27" s="18">
        <f t="shared" si="25"/>
        <v>-2426562.3610246377</v>
      </c>
      <c r="Q27" s="18">
        <f t="shared" si="26"/>
        <v>385937.63897536229</v>
      </c>
      <c r="R27" s="18">
        <f t="shared" si="27"/>
        <v>0.72169388306364168</v>
      </c>
      <c r="S27" s="18">
        <f t="shared" si="28"/>
        <v>278528.83329254307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39"/>
      <c r="AG27" s="101"/>
      <c r="AH27" s="101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</row>
    <row r="28" spans="1:4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8">
        <v>7</v>
      </c>
      <c r="L28" s="18">
        <f t="shared" si="21"/>
        <v>-300000</v>
      </c>
      <c r="M28" s="18">
        <f t="shared" si="22"/>
        <v>2812500</v>
      </c>
      <c r="N28" s="18">
        <f t="shared" si="23"/>
        <v>-3112500</v>
      </c>
      <c r="O28" s="18">
        <f t="shared" si="24"/>
        <v>685937.63897536241</v>
      </c>
      <c r="P28" s="18">
        <f t="shared" si="25"/>
        <v>-2426562.3610246377</v>
      </c>
      <c r="Q28" s="18">
        <f t="shared" si="26"/>
        <v>385937.63897536229</v>
      </c>
      <c r="R28" s="18">
        <f t="shared" si="27"/>
        <v>0.68351050709342487</v>
      </c>
      <c r="S28" s="18">
        <f t="shared" si="28"/>
        <v>263792.43132248899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39"/>
      <c r="AG28" s="101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</row>
    <row r="29" spans="1:4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8">
        <v>8</v>
      </c>
      <c r="L29" s="18">
        <f>-$B$8+B6</f>
        <v>2200000</v>
      </c>
      <c r="M29" s="18">
        <f t="shared" si="22"/>
        <v>2812500</v>
      </c>
      <c r="N29" s="18">
        <f t="shared" si="23"/>
        <v>-612500</v>
      </c>
      <c r="O29" s="18">
        <f t="shared" si="24"/>
        <v>134983.71208752113</v>
      </c>
      <c r="P29" s="18">
        <f t="shared" si="25"/>
        <v>-477516.2879124789</v>
      </c>
      <c r="Q29" s="18">
        <f t="shared" si="26"/>
        <v>2334983.7120875213</v>
      </c>
      <c r="R29" s="18">
        <f t="shared" si="27"/>
        <v>0.64734733696767721</v>
      </c>
      <c r="S29" s="18">
        <f t="shared" si="28"/>
        <v>1511545.4878827585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39"/>
      <c r="AG29" s="101"/>
      <c r="AH29" s="101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</row>
    <row r="30" spans="1: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98">
        <f>SUM(S21:S29)</f>
        <v>-21301965.478592087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</row>
    <row r="31" spans="1: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</row>
    <row r="32" spans="1:45">
      <c r="A32" s="1"/>
      <c r="B32" s="1"/>
      <c r="C32" s="1"/>
      <c r="D32" s="1"/>
      <c r="E32" s="1"/>
      <c r="F32" s="1"/>
      <c r="G32" s="1"/>
      <c r="H32" s="1"/>
      <c r="I32" s="1"/>
      <c r="J32" s="1"/>
      <c r="K32" s="5" t="s">
        <v>248</v>
      </c>
      <c r="L32" s="1">
        <f>S15</f>
        <v>-19686119.955830239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</row>
    <row r="33" spans="1:45">
      <c r="A33" s="1"/>
      <c r="B33" s="1"/>
      <c r="C33" s="1"/>
      <c r="D33" s="1"/>
      <c r="E33" s="1"/>
      <c r="F33" s="1"/>
      <c r="G33" s="1"/>
      <c r="H33" s="1"/>
      <c r="I33" s="1"/>
      <c r="J33" s="1"/>
      <c r="K33" s="5" t="s">
        <v>249</v>
      </c>
      <c r="L33" s="1">
        <f>S30</f>
        <v>-21301965.478592087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</row>
    <row r="34" spans="1:45">
      <c r="A34" s="1"/>
      <c r="B34" s="1"/>
      <c r="C34" s="1"/>
      <c r="D34" s="1"/>
      <c r="E34" s="1"/>
      <c r="F34" s="1"/>
      <c r="G34" s="1"/>
      <c r="H34" s="1"/>
      <c r="I34" s="1"/>
      <c r="J34" s="1"/>
      <c r="K34" s="138" t="s">
        <v>250</v>
      </c>
      <c r="L34" s="110"/>
      <c r="M34" s="110"/>
      <c r="N34" s="110"/>
      <c r="O34" s="110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</row>
    <row r="35" spans="1: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</row>
    <row r="36" spans="1:45">
      <c r="A36" s="1"/>
      <c r="B36" s="1" t="s">
        <v>251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</row>
    <row r="37" spans="1:45">
      <c r="A37" s="1"/>
      <c r="B37" s="1"/>
      <c r="C37" s="1"/>
      <c r="D37" s="1"/>
      <c r="E37" s="1"/>
      <c r="F37" s="1"/>
      <c r="G37" s="1"/>
      <c r="H37" s="1"/>
      <c r="I37" s="1"/>
      <c r="J37" s="1"/>
      <c r="K37" s="139" t="s">
        <v>252</v>
      </c>
      <c r="L37" s="110"/>
      <c r="M37" s="110"/>
      <c r="N37" s="110"/>
      <c r="O37" s="110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</row>
    <row r="38" spans="1: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</row>
    <row r="39" spans="1: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</row>
    <row r="40" spans="1: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</row>
    <row r="41" spans="1: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</row>
    <row r="42" spans="1: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</row>
    <row r="43" spans="1: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</row>
    <row r="44" spans="1: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</row>
    <row r="45" spans="1: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</row>
    <row r="46" spans="1: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</row>
    <row r="47" spans="1: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</row>
    <row r="48" spans="1: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</row>
    <row r="49" spans="1: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</row>
    <row r="50" spans="1: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</row>
    <row r="51" spans="1: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</row>
    <row r="52" spans="1: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94"/>
      <c r="AI52" s="94"/>
      <c r="AJ52" s="94"/>
      <c r="AK52" s="94"/>
      <c r="AL52" s="94"/>
      <c r="AM52" s="94"/>
      <c r="AN52" s="94"/>
      <c r="AO52" s="94"/>
      <c r="AP52" s="94"/>
      <c r="AQ52" s="94"/>
      <c r="AR52" s="94"/>
      <c r="AS52" s="94"/>
    </row>
    <row r="53" spans="1: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94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4"/>
    </row>
    <row r="54" spans="1: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</row>
    <row r="55" spans="1: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94"/>
      <c r="AI55" s="94"/>
      <c r="AJ55" s="94"/>
      <c r="AK55" s="94"/>
      <c r="AL55" s="94"/>
      <c r="AM55" s="94"/>
      <c r="AN55" s="94"/>
      <c r="AO55" s="94"/>
      <c r="AP55" s="94"/>
      <c r="AQ55" s="94"/>
      <c r="AR55" s="94"/>
      <c r="AS55" s="94"/>
    </row>
    <row r="56" spans="1: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94"/>
      <c r="AI56" s="94"/>
      <c r="AJ56" s="94"/>
      <c r="AK56" s="94"/>
      <c r="AL56" s="94"/>
      <c r="AM56" s="94"/>
      <c r="AN56" s="94"/>
      <c r="AO56" s="94"/>
      <c r="AP56" s="94"/>
      <c r="AQ56" s="94"/>
      <c r="AR56" s="94"/>
      <c r="AS56" s="94"/>
    </row>
    <row r="57" spans="1: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94"/>
      <c r="AI57" s="94"/>
      <c r="AJ57" s="94"/>
      <c r="AK57" s="94"/>
      <c r="AL57" s="94"/>
      <c r="AM57" s="94"/>
      <c r="AN57" s="94"/>
      <c r="AO57" s="94"/>
      <c r="AP57" s="94"/>
      <c r="AQ57" s="94"/>
      <c r="AR57" s="94"/>
      <c r="AS57" s="94"/>
    </row>
    <row r="58" spans="1: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94"/>
      <c r="AS58" s="94"/>
    </row>
    <row r="59" spans="1: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94"/>
      <c r="AI59" s="94"/>
      <c r="AJ59" s="94"/>
      <c r="AK59" s="94"/>
      <c r="AL59" s="94"/>
      <c r="AM59" s="94"/>
      <c r="AN59" s="94"/>
      <c r="AO59" s="94"/>
      <c r="AP59" s="94"/>
      <c r="AQ59" s="94"/>
      <c r="AR59" s="94"/>
      <c r="AS59" s="94"/>
    </row>
    <row r="60" spans="1: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94"/>
      <c r="AS60" s="94"/>
    </row>
    <row r="61" spans="1: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</row>
    <row r="62" spans="1: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</row>
    <row r="63" spans="1: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94"/>
      <c r="AI63" s="94"/>
      <c r="AJ63" s="94"/>
      <c r="AK63" s="94"/>
      <c r="AL63" s="94"/>
      <c r="AM63" s="94"/>
      <c r="AN63" s="94"/>
      <c r="AO63" s="94"/>
      <c r="AP63" s="94"/>
      <c r="AQ63" s="94"/>
      <c r="AR63" s="94"/>
      <c r="AS63" s="94"/>
    </row>
    <row r="64" spans="1: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94"/>
      <c r="AI64" s="94"/>
      <c r="AJ64" s="94"/>
      <c r="AK64" s="94"/>
      <c r="AL64" s="94"/>
      <c r="AM64" s="94"/>
      <c r="AN64" s="94"/>
      <c r="AO64" s="94"/>
      <c r="AP64" s="94"/>
      <c r="AQ64" s="94"/>
      <c r="AR64" s="94"/>
      <c r="AS64" s="94"/>
    </row>
    <row r="65" spans="1: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94"/>
      <c r="AI65" s="94"/>
      <c r="AJ65" s="94"/>
      <c r="AK65" s="94"/>
      <c r="AL65" s="94"/>
      <c r="AM65" s="94"/>
      <c r="AN65" s="94"/>
      <c r="AO65" s="94"/>
      <c r="AP65" s="94"/>
      <c r="AQ65" s="94"/>
      <c r="AR65" s="94"/>
      <c r="AS65" s="94"/>
    </row>
    <row r="66" spans="1: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94"/>
      <c r="AS66" s="94"/>
    </row>
    <row r="67" spans="1: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94"/>
      <c r="AI67" s="94"/>
      <c r="AJ67" s="94"/>
      <c r="AK67" s="94"/>
      <c r="AL67" s="94"/>
      <c r="AM67" s="94"/>
      <c r="AN67" s="94"/>
      <c r="AO67" s="94"/>
      <c r="AP67" s="94"/>
      <c r="AQ67" s="94"/>
      <c r="AR67" s="94"/>
      <c r="AS67" s="94"/>
    </row>
    <row r="68" spans="1: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94"/>
      <c r="AI68" s="94"/>
      <c r="AJ68" s="94"/>
      <c r="AK68" s="94"/>
      <c r="AL68" s="94"/>
      <c r="AM68" s="94"/>
      <c r="AN68" s="94"/>
      <c r="AO68" s="94"/>
      <c r="AP68" s="94"/>
      <c r="AQ68" s="94"/>
      <c r="AR68" s="94"/>
      <c r="AS68" s="94"/>
    </row>
    <row r="69" spans="1: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94"/>
      <c r="AI69" s="94"/>
      <c r="AJ69" s="94"/>
      <c r="AK69" s="94"/>
      <c r="AL69" s="94"/>
      <c r="AM69" s="94"/>
      <c r="AN69" s="94"/>
      <c r="AO69" s="94"/>
      <c r="AP69" s="94"/>
      <c r="AQ69" s="94"/>
      <c r="AR69" s="94"/>
      <c r="AS69" s="94"/>
    </row>
    <row r="70" spans="1: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94"/>
      <c r="AI70" s="94"/>
      <c r="AJ70" s="94"/>
      <c r="AK70" s="94"/>
      <c r="AL70" s="94"/>
      <c r="AM70" s="94"/>
      <c r="AN70" s="94"/>
      <c r="AO70" s="94"/>
      <c r="AP70" s="94"/>
      <c r="AQ70" s="94"/>
      <c r="AR70" s="94"/>
      <c r="AS70" s="94"/>
    </row>
    <row r="71" spans="1: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94"/>
      <c r="AI71" s="94"/>
      <c r="AJ71" s="94"/>
      <c r="AK71" s="94"/>
      <c r="AL71" s="94"/>
      <c r="AM71" s="94"/>
      <c r="AN71" s="94"/>
      <c r="AO71" s="94"/>
      <c r="AP71" s="94"/>
      <c r="AQ71" s="94"/>
      <c r="AR71" s="94"/>
      <c r="AS71" s="94"/>
    </row>
    <row r="72" spans="1: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94"/>
      <c r="AI72" s="94"/>
      <c r="AJ72" s="94"/>
      <c r="AK72" s="94"/>
      <c r="AL72" s="94"/>
      <c r="AM72" s="94"/>
      <c r="AN72" s="94"/>
      <c r="AO72" s="94"/>
      <c r="AP72" s="94"/>
      <c r="AQ72" s="94"/>
      <c r="AR72" s="94"/>
      <c r="AS72" s="94"/>
    </row>
    <row r="73" spans="1: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94"/>
      <c r="AI73" s="94"/>
      <c r="AJ73" s="94"/>
      <c r="AK73" s="94"/>
      <c r="AL73" s="94"/>
      <c r="AM73" s="94"/>
      <c r="AN73" s="94"/>
      <c r="AO73" s="94"/>
      <c r="AP73" s="94"/>
      <c r="AQ73" s="94"/>
      <c r="AR73" s="94"/>
      <c r="AS73" s="94"/>
    </row>
    <row r="74" spans="1: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94"/>
      <c r="AI74" s="94"/>
      <c r="AJ74" s="94"/>
      <c r="AK74" s="94"/>
      <c r="AL74" s="94"/>
      <c r="AM74" s="94"/>
      <c r="AN74" s="94"/>
      <c r="AO74" s="94"/>
      <c r="AP74" s="94"/>
      <c r="AQ74" s="94"/>
      <c r="AR74" s="94"/>
      <c r="AS74" s="94"/>
    </row>
    <row r="75" spans="1: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94"/>
      <c r="AI75" s="94"/>
      <c r="AJ75" s="94"/>
      <c r="AK75" s="94"/>
      <c r="AL75" s="94"/>
      <c r="AM75" s="94"/>
      <c r="AN75" s="94"/>
      <c r="AO75" s="94"/>
      <c r="AP75" s="94"/>
      <c r="AQ75" s="94"/>
      <c r="AR75" s="94"/>
      <c r="AS75" s="94"/>
    </row>
    <row r="76" spans="1: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94"/>
      <c r="AI76" s="94"/>
      <c r="AJ76" s="94"/>
      <c r="AK76" s="94"/>
      <c r="AL76" s="94"/>
      <c r="AM76" s="94"/>
      <c r="AN76" s="94"/>
      <c r="AO76" s="94"/>
      <c r="AP76" s="94"/>
      <c r="AQ76" s="94"/>
      <c r="AR76" s="94"/>
      <c r="AS76" s="94"/>
    </row>
    <row r="77" spans="1: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94"/>
      <c r="AI77" s="94"/>
      <c r="AJ77" s="94"/>
      <c r="AK77" s="94"/>
      <c r="AL77" s="94"/>
      <c r="AM77" s="94"/>
      <c r="AN77" s="94"/>
      <c r="AO77" s="94"/>
      <c r="AP77" s="94"/>
      <c r="AQ77" s="94"/>
      <c r="AR77" s="94"/>
      <c r="AS77" s="94"/>
    </row>
    <row r="78" spans="1: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94"/>
      <c r="AI78" s="94"/>
      <c r="AJ78" s="94"/>
      <c r="AK78" s="94"/>
      <c r="AL78" s="94"/>
      <c r="AM78" s="94"/>
      <c r="AN78" s="94"/>
      <c r="AO78" s="94"/>
      <c r="AP78" s="94"/>
      <c r="AQ78" s="94"/>
      <c r="AR78" s="94"/>
      <c r="AS78" s="94"/>
    </row>
    <row r="79" spans="1: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94"/>
      <c r="AI79" s="94"/>
      <c r="AJ79" s="94"/>
      <c r="AK79" s="94"/>
      <c r="AL79" s="94"/>
      <c r="AM79" s="94"/>
      <c r="AN79" s="94"/>
      <c r="AO79" s="94"/>
      <c r="AP79" s="94"/>
      <c r="AQ79" s="94"/>
      <c r="AR79" s="94"/>
      <c r="AS79" s="94"/>
    </row>
    <row r="80" spans="1: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94"/>
      <c r="AI80" s="94"/>
      <c r="AJ80" s="94"/>
      <c r="AK80" s="94"/>
      <c r="AL80" s="94"/>
      <c r="AM80" s="94"/>
      <c r="AN80" s="94"/>
      <c r="AO80" s="94"/>
      <c r="AP80" s="94"/>
      <c r="AQ80" s="94"/>
      <c r="AR80" s="94"/>
      <c r="AS80" s="94"/>
    </row>
    <row r="81" spans="1: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94"/>
      <c r="AI81" s="94"/>
      <c r="AJ81" s="94"/>
      <c r="AK81" s="94"/>
      <c r="AL81" s="94"/>
      <c r="AM81" s="94"/>
      <c r="AN81" s="94"/>
      <c r="AO81" s="94"/>
      <c r="AP81" s="94"/>
      <c r="AQ81" s="94"/>
      <c r="AR81" s="94"/>
      <c r="AS81" s="94"/>
    </row>
    <row r="82" spans="1: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</row>
    <row r="83" spans="1: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94"/>
      <c r="AI83" s="94"/>
      <c r="AJ83" s="94"/>
      <c r="AK83" s="94"/>
      <c r="AL83" s="94"/>
      <c r="AM83" s="94"/>
      <c r="AN83" s="94"/>
      <c r="AO83" s="94"/>
      <c r="AP83" s="94"/>
      <c r="AQ83" s="94"/>
      <c r="AR83" s="94"/>
      <c r="AS83" s="94"/>
    </row>
    <row r="84" spans="1: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94"/>
      <c r="AI84" s="94"/>
      <c r="AJ84" s="94"/>
      <c r="AK84" s="94"/>
      <c r="AL84" s="94"/>
      <c r="AM84" s="94"/>
      <c r="AN84" s="94"/>
      <c r="AO84" s="94"/>
      <c r="AP84" s="94"/>
      <c r="AQ84" s="94"/>
      <c r="AR84" s="94"/>
      <c r="AS84" s="94"/>
    </row>
    <row r="85" spans="1: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94"/>
      <c r="AI85" s="94"/>
      <c r="AJ85" s="94"/>
      <c r="AK85" s="94"/>
      <c r="AL85" s="94"/>
      <c r="AM85" s="94"/>
      <c r="AN85" s="94"/>
      <c r="AO85" s="94"/>
      <c r="AP85" s="94"/>
      <c r="AQ85" s="94"/>
      <c r="AR85" s="94"/>
      <c r="AS85" s="94"/>
    </row>
    <row r="86" spans="1: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94"/>
      <c r="AI86" s="94"/>
      <c r="AJ86" s="94"/>
      <c r="AK86" s="94"/>
      <c r="AL86" s="94"/>
      <c r="AM86" s="94"/>
      <c r="AN86" s="94"/>
      <c r="AO86" s="94"/>
      <c r="AP86" s="94"/>
      <c r="AQ86" s="94"/>
      <c r="AR86" s="94"/>
      <c r="AS86" s="94"/>
    </row>
    <row r="87" spans="1: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94"/>
      <c r="AI87" s="94"/>
      <c r="AJ87" s="94"/>
      <c r="AK87" s="94"/>
      <c r="AL87" s="94"/>
      <c r="AM87" s="94"/>
      <c r="AN87" s="94"/>
      <c r="AO87" s="94"/>
      <c r="AP87" s="94"/>
      <c r="AQ87" s="94"/>
      <c r="AR87" s="94"/>
      <c r="AS87" s="94"/>
    </row>
    <row r="88" spans="1: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94"/>
      <c r="AI88" s="94"/>
      <c r="AJ88" s="94"/>
      <c r="AK88" s="94"/>
      <c r="AL88" s="94"/>
      <c r="AM88" s="94"/>
      <c r="AN88" s="94"/>
      <c r="AO88" s="94"/>
      <c r="AP88" s="94"/>
      <c r="AQ88" s="94"/>
      <c r="AR88" s="94"/>
      <c r="AS88" s="94"/>
    </row>
    <row r="89" spans="1: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94"/>
      <c r="AI89" s="94"/>
      <c r="AJ89" s="94"/>
      <c r="AK89" s="94"/>
      <c r="AL89" s="94"/>
      <c r="AM89" s="94"/>
      <c r="AN89" s="94"/>
      <c r="AO89" s="94"/>
      <c r="AP89" s="94"/>
      <c r="AQ89" s="94"/>
      <c r="AR89" s="94"/>
      <c r="AS89" s="94"/>
    </row>
    <row r="90" spans="1: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94"/>
      <c r="AI90" s="94"/>
      <c r="AJ90" s="94"/>
      <c r="AK90" s="94"/>
      <c r="AL90" s="94"/>
      <c r="AM90" s="94"/>
      <c r="AN90" s="94"/>
      <c r="AO90" s="94"/>
      <c r="AP90" s="94"/>
      <c r="AQ90" s="94"/>
      <c r="AR90" s="94"/>
      <c r="AS90" s="94"/>
    </row>
    <row r="91" spans="1: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94"/>
      <c r="AI91" s="94"/>
      <c r="AJ91" s="94"/>
      <c r="AK91" s="94"/>
      <c r="AL91" s="94"/>
      <c r="AM91" s="94"/>
      <c r="AN91" s="94"/>
      <c r="AO91" s="94"/>
      <c r="AP91" s="94"/>
      <c r="AQ91" s="94"/>
      <c r="AR91" s="94"/>
      <c r="AS91" s="94"/>
    </row>
    <row r="92" spans="1: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94"/>
      <c r="AI92" s="94"/>
      <c r="AJ92" s="94"/>
      <c r="AK92" s="94"/>
      <c r="AL92" s="94"/>
      <c r="AM92" s="94"/>
      <c r="AN92" s="94"/>
      <c r="AO92" s="94"/>
      <c r="AP92" s="94"/>
      <c r="AQ92" s="94"/>
      <c r="AR92" s="94"/>
      <c r="AS92" s="94"/>
    </row>
    <row r="93" spans="1: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94"/>
      <c r="AI93" s="94"/>
      <c r="AJ93" s="94"/>
      <c r="AK93" s="94"/>
      <c r="AL93" s="94"/>
      <c r="AM93" s="94"/>
      <c r="AN93" s="94"/>
      <c r="AO93" s="94"/>
      <c r="AP93" s="94"/>
      <c r="AQ93" s="94"/>
      <c r="AR93" s="94"/>
      <c r="AS93" s="94"/>
    </row>
    <row r="94" spans="1: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94"/>
      <c r="AI94" s="94"/>
      <c r="AJ94" s="94"/>
      <c r="AK94" s="94"/>
      <c r="AL94" s="94"/>
      <c r="AM94" s="94"/>
      <c r="AN94" s="94"/>
      <c r="AO94" s="94"/>
      <c r="AP94" s="94"/>
      <c r="AQ94" s="94"/>
      <c r="AR94" s="94"/>
      <c r="AS94" s="94"/>
    </row>
    <row r="95" spans="1: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94"/>
      <c r="AI95" s="94"/>
      <c r="AJ95" s="94"/>
      <c r="AK95" s="94"/>
      <c r="AL95" s="94"/>
      <c r="AM95" s="94"/>
      <c r="AN95" s="94"/>
      <c r="AO95" s="94"/>
      <c r="AP95" s="94"/>
      <c r="AQ95" s="94"/>
      <c r="AR95" s="94"/>
      <c r="AS95" s="94"/>
    </row>
    <row r="96" spans="1: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94"/>
      <c r="AI96" s="94"/>
      <c r="AJ96" s="94"/>
      <c r="AK96" s="94"/>
      <c r="AL96" s="94"/>
      <c r="AM96" s="94"/>
      <c r="AN96" s="94"/>
      <c r="AO96" s="94"/>
      <c r="AP96" s="94"/>
      <c r="AQ96" s="94"/>
      <c r="AR96" s="94"/>
      <c r="AS96" s="94"/>
    </row>
    <row r="97" spans="1: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94"/>
      <c r="AI97" s="94"/>
      <c r="AJ97" s="94"/>
      <c r="AK97" s="94"/>
      <c r="AL97" s="94"/>
      <c r="AM97" s="94"/>
      <c r="AN97" s="94"/>
      <c r="AO97" s="94"/>
      <c r="AP97" s="94"/>
      <c r="AQ97" s="94"/>
      <c r="AR97" s="94"/>
      <c r="AS97" s="94"/>
    </row>
    <row r="98" spans="1: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  <c r="AS98" s="94"/>
    </row>
    <row r="99" spans="1: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94"/>
      <c r="AI99" s="94"/>
      <c r="AJ99" s="94"/>
      <c r="AK99" s="94"/>
      <c r="AL99" s="94"/>
      <c r="AM99" s="94"/>
      <c r="AN99" s="94"/>
      <c r="AO99" s="94"/>
      <c r="AP99" s="94"/>
      <c r="AQ99" s="94"/>
      <c r="AR99" s="94"/>
      <c r="AS99" s="94"/>
    </row>
    <row r="100" spans="1: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94"/>
      <c r="AI100" s="94"/>
      <c r="AJ100" s="94"/>
      <c r="AK100" s="94"/>
      <c r="AL100" s="94"/>
      <c r="AM100" s="94"/>
      <c r="AN100" s="94"/>
      <c r="AO100" s="94"/>
      <c r="AP100" s="94"/>
      <c r="AQ100" s="94"/>
      <c r="AR100" s="94"/>
      <c r="AS100" s="94"/>
    </row>
    <row r="101" spans="1: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94"/>
      <c r="AI101" s="94"/>
      <c r="AJ101" s="94"/>
      <c r="AK101" s="94"/>
      <c r="AL101" s="94"/>
      <c r="AM101" s="94"/>
      <c r="AN101" s="94"/>
      <c r="AO101" s="94"/>
      <c r="AP101" s="94"/>
      <c r="AQ101" s="94"/>
      <c r="AR101" s="94"/>
      <c r="AS101" s="94"/>
    </row>
    <row r="102" spans="1: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94"/>
      <c r="AI102" s="94"/>
      <c r="AJ102" s="94"/>
      <c r="AK102" s="94"/>
      <c r="AL102" s="94"/>
      <c r="AM102" s="94"/>
      <c r="AN102" s="94"/>
      <c r="AO102" s="94"/>
      <c r="AP102" s="94"/>
      <c r="AQ102" s="94"/>
      <c r="AR102" s="94"/>
      <c r="AS102" s="94"/>
    </row>
    <row r="103" spans="1: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94"/>
      <c r="AI103" s="94"/>
      <c r="AJ103" s="94"/>
      <c r="AK103" s="94"/>
      <c r="AL103" s="94"/>
      <c r="AM103" s="94"/>
      <c r="AN103" s="94"/>
      <c r="AO103" s="94"/>
      <c r="AP103" s="94"/>
      <c r="AQ103" s="94"/>
      <c r="AR103" s="94"/>
      <c r="AS103" s="94"/>
    </row>
    <row r="104" spans="1: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/>
    </row>
    <row r="105" spans="1: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94"/>
      <c r="AI105" s="94"/>
      <c r="AJ105" s="94"/>
      <c r="AK105" s="94"/>
      <c r="AL105" s="94"/>
      <c r="AM105" s="94"/>
      <c r="AN105" s="94"/>
      <c r="AO105" s="94"/>
      <c r="AP105" s="94"/>
      <c r="AQ105" s="94"/>
      <c r="AR105" s="94"/>
      <c r="AS105" s="94"/>
    </row>
    <row r="106" spans="1: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94"/>
      <c r="AI106" s="94"/>
      <c r="AJ106" s="94"/>
      <c r="AK106" s="94"/>
      <c r="AL106" s="94"/>
      <c r="AM106" s="94"/>
      <c r="AN106" s="94"/>
      <c r="AO106" s="94"/>
      <c r="AP106" s="94"/>
      <c r="AQ106" s="94"/>
      <c r="AR106" s="94"/>
      <c r="AS106" s="94"/>
    </row>
    <row r="107" spans="1: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94"/>
      <c r="AI107" s="94"/>
      <c r="AJ107" s="94"/>
      <c r="AK107" s="94"/>
      <c r="AL107" s="94"/>
      <c r="AM107" s="94"/>
      <c r="AN107" s="94"/>
      <c r="AO107" s="94"/>
      <c r="AP107" s="94"/>
      <c r="AQ107" s="94"/>
      <c r="AR107" s="94"/>
      <c r="AS107" s="94"/>
    </row>
    <row r="108" spans="1: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</row>
    <row r="109" spans="1: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94"/>
      <c r="AI109" s="94"/>
      <c r="AJ109" s="94"/>
      <c r="AK109" s="94"/>
      <c r="AL109" s="94"/>
      <c r="AM109" s="94"/>
      <c r="AN109" s="94"/>
      <c r="AO109" s="94"/>
      <c r="AP109" s="94"/>
      <c r="AQ109" s="94"/>
      <c r="AR109" s="94"/>
      <c r="AS109" s="94"/>
    </row>
    <row r="110" spans="1: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94"/>
      <c r="AI110" s="94"/>
      <c r="AJ110" s="94"/>
      <c r="AK110" s="94"/>
      <c r="AL110" s="94"/>
      <c r="AM110" s="94"/>
      <c r="AN110" s="94"/>
      <c r="AO110" s="94"/>
      <c r="AP110" s="94"/>
      <c r="AQ110" s="94"/>
      <c r="AR110" s="94"/>
      <c r="AS110" s="94"/>
    </row>
    <row r="111" spans="1: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94"/>
      <c r="AI111" s="94"/>
      <c r="AJ111" s="94"/>
      <c r="AK111" s="94"/>
      <c r="AL111" s="94"/>
      <c r="AM111" s="94"/>
      <c r="AN111" s="94"/>
      <c r="AO111" s="94"/>
      <c r="AP111" s="94"/>
      <c r="AQ111" s="94"/>
      <c r="AR111" s="94"/>
      <c r="AS111" s="94"/>
    </row>
    <row r="112" spans="1: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94"/>
      <c r="AI112" s="94"/>
      <c r="AJ112" s="94"/>
      <c r="AK112" s="94"/>
      <c r="AL112" s="94"/>
      <c r="AM112" s="94"/>
      <c r="AN112" s="94"/>
      <c r="AO112" s="94"/>
      <c r="AP112" s="94"/>
      <c r="AQ112" s="94"/>
      <c r="AR112" s="94"/>
      <c r="AS112" s="94"/>
    </row>
    <row r="113" spans="1: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94"/>
      <c r="AI113" s="94"/>
      <c r="AJ113" s="94"/>
      <c r="AK113" s="94"/>
      <c r="AL113" s="94"/>
      <c r="AM113" s="94"/>
      <c r="AN113" s="94"/>
      <c r="AO113" s="94"/>
      <c r="AP113" s="94"/>
      <c r="AQ113" s="94"/>
      <c r="AR113" s="94"/>
      <c r="AS113" s="94"/>
    </row>
    <row r="114" spans="1: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94"/>
      <c r="AI114" s="94"/>
      <c r="AJ114" s="94"/>
      <c r="AK114" s="94"/>
      <c r="AL114" s="94"/>
      <c r="AM114" s="94"/>
      <c r="AN114" s="94"/>
      <c r="AO114" s="94"/>
      <c r="AP114" s="94"/>
      <c r="AQ114" s="94"/>
      <c r="AR114" s="94"/>
      <c r="AS114" s="94"/>
    </row>
    <row r="115" spans="1: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94"/>
      <c r="AI115" s="94"/>
      <c r="AJ115" s="94"/>
      <c r="AK115" s="94"/>
      <c r="AL115" s="94"/>
      <c r="AM115" s="94"/>
      <c r="AN115" s="94"/>
      <c r="AO115" s="94"/>
      <c r="AP115" s="94"/>
      <c r="AQ115" s="94"/>
      <c r="AR115" s="94"/>
      <c r="AS115" s="94"/>
    </row>
    <row r="116" spans="1: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94"/>
      <c r="AI116" s="94"/>
      <c r="AJ116" s="94"/>
      <c r="AK116" s="94"/>
      <c r="AL116" s="94"/>
      <c r="AM116" s="94"/>
      <c r="AN116" s="94"/>
      <c r="AO116" s="94"/>
      <c r="AP116" s="94"/>
      <c r="AQ116" s="94"/>
      <c r="AR116" s="94"/>
      <c r="AS116" s="94"/>
    </row>
    <row r="117" spans="1: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94"/>
      <c r="AI117" s="94"/>
      <c r="AJ117" s="94"/>
      <c r="AK117" s="94"/>
      <c r="AL117" s="94"/>
      <c r="AM117" s="94"/>
      <c r="AN117" s="94"/>
      <c r="AO117" s="94"/>
      <c r="AP117" s="94"/>
      <c r="AQ117" s="94"/>
      <c r="AR117" s="94"/>
      <c r="AS117" s="94"/>
    </row>
    <row r="118" spans="1: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94"/>
      <c r="AI118" s="94"/>
      <c r="AJ118" s="94"/>
      <c r="AK118" s="94"/>
      <c r="AL118" s="94"/>
      <c r="AM118" s="94"/>
      <c r="AN118" s="94"/>
      <c r="AO118" s="94"/>
      <c r="AP118" s="94"/>
      <c r="AQ118" s="94"/>
      <c r="AR118" s="94"/>
      <c r="AS118" s="94"/>
    </row>
    <row r="119" spans="1: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94"/>
      <c r="AI119" s="94"/>
      <c r="AJ119" s="94"/>
      <c r="AK119" s="94"/>
      <c r="AL119" s="94"/>
      <c r="AM119" s="94"/>
      <c r="AN119" s="94"/>
      <c r="AO119" s="94"/>
      <c r="AP119" s="94"/>
      <c r="AQ119" s="94"/>
      <c r="AR119" s="94"/>
      <c r="AS119" s="94"/>
    </row>
    <row r="120" spans="1: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94"/>
      <c r="AI120" s="94"/>
      <c r="AJ120" s="94"/>
      <c r="AK120" s="94"/>
      <c r="AL120" s="94"/>
      <c r="AM120" s="94"/>
      <c r="AN120" s="94"/>
      <c r="AO120" s="94"/>
      <c r="AP120" s="94"/>
      <c r="AQ120" s="94"/>
      <c r="AR120" s="94"/>
      <c r="AS120" s="94"/>
    </row>
    <row r="121" spans="1: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94"/>
      <c r="AI121" s="94"/>
      <c r="AJ121" s="94"/>
      <c r="AK121" s="94"/>
      <c r="AL121" s="94"/>
      <c r="AM121" s="94"/>
      <c r="AN121" s="94"/>
      <c r="AO121" s="94"/>
      <c r="AP121" s="94"/>
      <c r="AQ121" s="94"/>
      <c r="AR121" s="94"/>
      <c r="AS121" s="94"/>
    </row>
    <row r="122" spans="1: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94"/>
      <c r="AI122" s="94"/>
      <c r="AJ122" s="94"/>
      <c r="AK122" s="94"/>
      <c r="AL122" s="94"/>
      <c r="AM122" s="94"/>
      <c r="AN122" s="94"/>
      <c r="AO122" s="94"/>
      <c r="AP122" s="94"/>
      <c r="AQ122" s="94"/>
      <c r="AR122" s="94"/>
      <c r="AS122" s="94"/>
    </row>
    <row r="123" spans="1: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</row>
    <row r="124" spans="1: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</row>
    <row r="125" spans="1: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</row>
    <row r="126" spans="1: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94"/>
      <c r="AI126" s="94"/>
      <c r="AJ126" s="94"/>
      <c r="AK126" s="94"/>
      <c r="AL126" s="94"/>
      <c r="AM126" s="94"/>
      <c r="AN126" s="94"/>
      <c r="AO126" s="94"/>
      <c r="AP126" s="94"/>
      <c r="AQ126" s="94"/>
      <c r="AR126" s="94"/>
      <c r="AS126" s="94"/>
    </row>
    <row r="127" spans="1: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94"/>
      <c r="AI127" s="94"/>
      <c r="AJ127" s="94"/>
      <c r="AK127" s="94"/>
      <c r="AL127" s="94"/>
      <c r="AM127" s="94"/>
      <c r="AN127" s="94"/>
      <c r="AO127" s="94"/>
      <c r="AP127" s="94"/>
      <c r="AQ127" s="94"/>
      <c r="AR127" s="94"/>
      <c r="AS127" s="94"/>
    </row>
    <row r="128" spans="1: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94"/>
      <c r="AI128" s="94"/>
      <c r="AJ128" s="94"/>
      <c r="AK128" s="94"/>
      <c r="AL128" s="94"/>
      <c r="AM128" s="94"/>
      <c r="AN128" s="94"/>
      <c r="AO128" s="94"/>
      <c r="AP128" s="94"/>
      <c r="AQ128" s="94"/>
      <c r="AR128" s="94"/>
      <c r="AS128" s="94"/>
    </row>
    <row r="129" spans="1: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94"/>
      <c r="AI129" s="94"/>
      <c r="AJ129" s="94"/>
      <c r="AK129" s="94"/>
      <c r="AL129" s="94"/>
      <c r="AM129" s="94"/>
      <c r="AN129" s="94"/>
      <c r="AO129" s="94"/>
      <c r="AP129" s="94"/>
      <c r="AQ129" s="94"/>
      <c r="AR129" s="94"/>
      <c r="AS129" s="94"/>
    </row>
    <row r="130" spans="1: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94"/>
      <c r="AI130" s="94"/>
      <c r="AJ130" s="94"/>
      <c r="AK130" s="94"/>
      <c r="AL130" s="94"/>
      <c r="AM130" s="94"/>
      <c r="AN130" s="94"/>
      <c r="AO130" s="94"/>
      <c r="AP130" s="94"/>
      <c r="AQ130" s="94"/>
      <c r="AR130" s="94"/>
      <c r="AS130" s="94"/>
    </row>
    <row r="131" spans="1: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94"/>
      <c r="AI131" s="94"/>
      <c r="AJ131" s="94"/>
      <c r="AK131" s="94"/>
      <c r="AL131" s="94"/>
      <c r="AM131" s="94"/>
      <c r="AN131" s="94"/>
      <c r="AO131" s="94"/>
      <c r="AP131" s="94"/>
      <c r="AQ131" s="94"/>
      <c r="AR131" s="94"/>
      <c r="AS131" s="94"/>
    </row>
    <row r="132" spans="1: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94"/>
      <c r="AI132" s="94"/>
      <c r="AJ132" s="94"/>
      <c r="AK132" s="94"/>
      <c r="AL132" s="94"/>
      <c r="AM132" s="94"/>
      <c r="AN132" s="94"/>
      <c r="AO132" s="94"/>
      <c r="AP132" s="94"/>
      <c r="AQ132" s="94"/>
      <c r="AR132" s="94"/>
      <c r="AS132" s="94"/>
    </row>
    <row r="133" spans="1: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94"/>
      <c r="AI133" s="94"/>
      <c r="AJ133" s="94"/>
      <c r="AK133" s="94"/>
      <c r="AL133" s="94"/>
      <c r="AM133" s="94"/>
      <c r="AN133" s="94"/>
      <c r="AO133" s="94"/>
      <c r="AP133" s="94"/>
      <c r="AQ133" s="94"/>
      <c r="AR133" s="94"/>
      <c r="AS133" s="94"/>
    </row>
    <row r="134" spans="1: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94"/>
      <c r="AI134" s="94"/>
      <c r="AJ134" s="94"/>
      <c r="AK134" s="94"/>
      <c r="AL134" s="94"/>
      <c r="AM134" s="94"/>
      <c r="AN134" s="94"/>
      <c r="AO134" s="94"/>
      <c r="AP134" s="94"/>
      <c r="AQ134" s="94"/>
      <c r="AR134" s="94"/>
      <c r="AS134" s="94"/>
    </row>
    <row r="135" spans="1: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94"/>
      <c r="AI135" s="94"/>
      <c r="AJ135" s="94"/>
      <c r="AK135" s="94"/>
      <c r="AL135" s="94"/>
      <c r="AM135" s="94"/>
      <c r="AN135" s="94"/>
      <c r="AO135" s="94"/>
      <c r="AP135" s="94"/>
      <c r="AQ135" s="94"/>
      <c r="AR135" s="94"/>
      <c r="AS135" s="94"/>
    </row>
    <row r="136" spans="1: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94"/>
      <c r="AI136" s="94"/>
      <c r="AJ136" s="94"/>
      <c r="AK136" s="94"/>
      <c r="AL136" s="94"/>
      <c r="AM136" s="94"/>
      <c r="AN136" s="94"/>
      <c r="AO136" s="94"/>
      <c r="AP136" s="94"/>
      <c r="AQ136" s="94"/>
      <c r="AR136" s="94"/>
      <c r="AS136" s="94"/>
    </row>
    <row r="137" spans="1: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94"/>
      <c r="AI137" s="94"/>
      <c r="AJ137" s="94"/>
      <c r="AK137" s="94"/>
      <c r="AL137" s="94"/>
      <c r="AM137" s="94"/>
      <c r="AN137" s="94"/>
      <c r="AO137" s="94"/>
      <c r="AP137" s="94"/>
      <c r="AQ137" s="94"/>
      <c r="AR137" s="94"/>
      <c r="AS137" s="94"/>
    </row>
    <row r="138" spans="1: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94"/>
      <c r="AI138" s="94"/>
      <c r="AJ138" s="94"/>
      <c r="AK138" s="94"/>
      <c r="AL138" s="94"/>
      <c r="AM138" s="94"/>
      <c r="AN138" s="94"/>
      <c r="AO138" s="94"/>
      <c r="AP138" s="94"/>
      <c r="AQ138" s="94"/>
      <c r="AR138" s="94"/>
      <c r="AS138" s="94"/>
    </row>
    <row r="139" spans="1: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94"/>
      <c r="AI139" s="94"/>
      <c r="AJ139" s="94"/>
      <c r="AK139" s="94"/>
      <c r="AL139" s="94"/>
      <c r="AM139" s="94"/>
      <c r="AN139" s="94"/>
      <c r="AO139" s="94"/>
      <c r="AP139" s="94"/>
      <c r="AQ139" s="94"/>
      <c r="AR139" s="94"/>
      <c r="AS139" s="94"/>
    </row>
    <row r="140" spans="1: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94"/>
      <c r="AI140" s="94"/>
      <c r="AJ140" s="94"/>
      <c r="AK140" s="94"/>
      <c r="AL140" s="94"/>
      <c r="AM140" s="94"/>
      <c r="AN140" s="94"/>
      <c r="AO140" s="94"/>
      <c r="AP140" s="94"/>
      <c r="AQ140" s="94"/>
      <c r="AR140" s="94"/>
      <c r="AS140" s="94"/>
    </row>
    <row r="141" spans="1: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94"/>
      <c r="AI141" s="94"/>
      <c r="AJ141" s="94"/>
      <c r="AK141" s="94"/>
      <c r="AL141" s="94"/>
      <c r="AM141" s="94"/>
      <c r="AN141" s="94"/>
      <c r="AO141" s="94"/>
      <c r="AP141" s="94"/>
      <c r="AQ141" s="94"/>
      <c r="AR141" s="94"/>
      <c r="AS141" s="94"/>
    </row>
    <row r="142" spans="1: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94"/>
      <c r="AI142" s="94"/>
      <c r="AJ142" s="94"/>
      <c r="AK142" s="94"/>
      <c r="AL142" s="94"/>
      <c r="AM142" s="94"/>
      <c r="AN142" s="94"/>
      <c r="AO142" s="94"/>
      <c r="AP142" s="94"/>
      <c r="AQ142" s="94"/>
      <c r="AR142" s="94"/>
      <c r="AS142" s="94"/>
    </row>
    <row r="143" spans="1: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94"/>
      <c r="AI143" s="94"/>
      <c r="AJ143" s="94"/>
      <c r="AK143" s="94"/>
      <c r="AL143" s="94"/>
      <c r="AM143" s="94"/>
      <c r="AN143" s="94"/>
      <c r="AO143" s="94"/>
      <c r="AP143" s="94"/>
      <c r="AQ143" s="94"/>
      <c r="AR143" s="94"/>
      <c r="AS143" s="94"/>
    </row>
    <row r="144" spans="1: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94"/>
      <c r="AI144" s="94"/>
      <c r="AJ144" s="94"/>
      <c r="AK144" s="94"/>
      <c r="AL144" s="94"/>
      <c r="AM144" s="94"/>
      <c r="AN144" s="94"/>
      <c r="AO144" s="94"/>
      <c r="AP144" s="94"/>
      <c r="AQ144" s="94"/>
      <c r="AR144" s="94"/>
      <c r="AS144" s="94"/>
    </row>
    <row r="145" spans="1: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94"/>
      <c r="AI145" s="94"/>
      <c r="AJ145" s="94"/>
      <c r="AK145" s="94"/>
      <c r="AL145" s="94"/>
      <c r="AM145" s="94"/>
      <c r="AN145" s="94"/>
      <c r="AO145" s="94"/>
      <c r="AP145" s="94"/>
      <c r="AQ145" s="94"/>
      <c r="AR145" s="94"/>
      <c r="AS145" s="94"/>
    </row>
    <row r="146" spans="1: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94"/>
      <c r="AI146" s="94"/>
      <c r="AJ146" s="94"/>
      <c r="AK146" s="94"/>
      <c r="AL146" s="94"/>
      <c r="AM146" s="94"/>
      <c r="AN146" s="94"/>
      <c r="AO146" s="94"/>
      <c r="AP146" s="94"/>
      <c r="AQ146" s="94"/>
      <c r="AR146" s="94"/>
      <c r="AS146" s="94"/>
    </row>
    <row r="147" spans="1: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94"/>
      <c r="AI147" s="94"/>
      <c r="AJ147" s="94"/>
      <c r="AK147" s="94"/>
      <c r="AL147" s="94"/>
      <c r="AM147" s="94"/>
      <c r="AN147" s="94"/>
      <c r="AO147" s="94"/>
      <c r="AP147" s="94"/>
      <c r="AQ147" s="94"/>
      <c r="AR147" s="94"/>
      <c r="AS147" s="94"/>
    </row>
    <row r="148" spans="1: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94"/>
      <c r="AI148" s="94"/>
      <c r="AJ148" s="94"/>
      <c r="AK148" s="94"/>
      <c r="AL148" s="94"/>
      <c r="AM148" s="94"/>
      <c r="AN148" s="94"/>
      <c r="AO148" s="94"/>
      <c r="AP148" s="94"/>
      <c r="AQ148" s="94"/>
      <c r="AR148" s="94"/>
      <c r="AS148" s="94"/>
    </row>
    <row r="149" spans="1: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94"/>
      <c r="AI149" s="94"/>
      <c r="AJ149" s="94"/>
      <c r="AK149" s="94"/>
      <c r="AL149" s="94"/>
      <c r="AM149" s="94"/>
      <c r="AN149" s="94"/>
      <c r="AO149" s="94"/>
      <c r="AP149" s="94"/>
      <c r="AQ149" s="94"/>
      <c r="AR149" s="94"/>
      <c r="AS149" s="94"/>
    </row>
    <row r="150" spans="1: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94"/>
      <c r="AI150" s="94"/>
      <c r="AJ150" s="94"/>
      <c r="AK150" s="94"/>
      <c r="AL150" s="94"/>
      <c r="AM150" s="94"/>
      <c r="AN150" s="94"/>
      <c r="AO150" s="94"/>
      <c r="AP150" s="94"/>
      <c r="AQ150" s="94"/>
      <c r="AR150" s="94"/>
      <c r="AS150" s="94"/>
    </row>
    <row r="151" spans="1: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94"/>
      <c r="AI151" s="94"/>
      <c r="AJ151" s="94"/>
      <c r="AK151" s="94"/>
      <c r="AL151" s="94"/>
      <c r="AM151" s="94"/>
      <c r="AN151" s="94"/>
      <c r="AO151" s="94"/>
      <c r="AP151" s="94"/>
      <c r="AQ151" s="94"/>
      <c r="AR151" s="94"/>
      <c r="AS151" s="94"/>
    </row>
    <row r="152" spans="1: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94"/>
      <c r="AI152" s="94"/>
      <c r="AJ152" s="94"/>
      <c r="AK152" s="94"/>
      <c r="AL152" s="94"/>
      <c r="AM152" s="94"/>
      <c r="AN152" s="94"/>
      <c r="AO152" s="94"/>
      <c r="AP152" s="94"/>
      <c r="AQ152" s="94"/>
      <c r="AR152" s="94"/>
      <c r="AS152" s="94"/>
    </row>
    <row r="153" spans="1: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94"/>
      <c r="AI153" s="94"/>
      <c r="AJ153" s="94"/>
      <c r="AK153" s="94"/>
      <c r="AL153" s="94"/>
      <c r="AM153" s="94"/>
      <c r="AN153" s="94"/>
      <c r="AO153" s="94"/>
      <c r="AP153" s="94"/>
      <c r="AQ153" s="94"/>
      <c r="AR153" s="94"/>
      <c r="AS153" s="94"/>
    </row>
    <row r="154" spans="1: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94"/>
      <c r="AI154" s="94"/>
      <c r="AJ154" s="94"/>
      <c r="AK154" s="94"/>
      <c r="AL154" s="94"/>
      <c r="AM154" s="94"/>
      <c r="AN154" s="94"/>
      <c r="AO154" s="94"/>
      <c r="AP154" s="94"/>
      <c r="AQ154" s="94"/>
      <c r="AR154" s="94"/>
      <c r="AS154" s="94"/>
    </row>
    <row r="155" spans="1: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94"/>
      <c r="AI155" s="94"/>
      <c r="AJ155" s="94"/>
      <c r="AK155" s="94"/>
      <c r="AL155" s="94"/>
      <c r="AM155" s="94"/>
      <c r="AN155" s="94"/>
      <c r="AO155" s="94"/>
      <c r="AP155" s="94"/>
      <c r="AQ155" s="94"/>
      <c r="AR155" s="94"/>
      <c r="AS155" s="94"/>
    </row>
    <row r="156" spans="1: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94"/>
      <c r="AI156" s="94"/>
      <c r="AJ156" s="94"/>
      <c r="AK156" s="94"/>
      <c r="AL156" s="94"/>
      <c r="AM156" s="94"/>
      <c r="AN156" s="94"/>
      <c r="AO156" s="94"/>
      <c r="AP156" s="94"/>
      <c r="AQ156" s="94"/>
      <c r="AR156" s="94"/>
      <c r="AS156" s="94"/>
    </row>
    <row r="157" spans="1: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94"/>
      <c r="AI157" s="94"/>
      <c r="AJ157" s="94"/>
      <c r="AK157" s="94"/>
      <c r="AL157" s="94"/>
      <c r="AM157" s="94"/>
      <c r="AN157" s="94"/>
      <c r="AO157" s="94"/>
      <c r="AP157" s="94"/>
      <c r="AQ157" s="94"/>
      <c r="AR157" s="94"/>
      <c r="AS157" s="94"/>
    </row>
    <row r="158" spans="1: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94"/>
      <c r="AI158" s="94"/>
      <c r="AJ158" s="94"/>
      <c r="AK158" s="94"/>
      <c r="AL158" s="94"/>
      <c r="AM158" s="94"/>
      <c r="AN158" s="94"/>
      <c r="AO158" s="94"/>
      <c r="AP158" s="94"/>
      <c r="AQ158" s="94"/>
      <c r="AR158" s="94"/>
      <c r="AS158" s="94"/>
    </row>
    <row r="159" spans="1: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94"/>
      <c r="AI159" s="94"/>
      <c r="AJ159" s="94"/>
      <c r="AK159" s="94"/>
      <c r="AL159" s="94"/>
      <c r="AM159" s="94"/>
      <c r="AN159" s="94"/>
      <c r="AO159" s="94"/>
      <c r="AP159" s="94"/>
      <c r="AQ159" s="94"/>
      <c r="AR159" s="94"/>
      <c r="AS159" s="94"/>
    </row>
    <row r="160" spans="1: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94"/>
      <c r="AI160" s="94"/>
      <c r="AJ160" s="94"/>
      <c r="AK160" s="94"/>
      <c r="AL160" s="94"/>
      <c r="AM160" s="94"/>
      <c r="AN160" s="94"/>
      <c r="AO160" s="94"/>
      <c r="AP160" s="94"/>
      <c r="AQ160" s="94"/>
      <c r="AR160" s="94"/>
      <c r="AS160" s="94"/>
    </row>
    <row r="161" spans="1: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94"/>
      <c r="AI161" s="94"/>
      <c r="AJ161" s="94"/>
      <c r="AK161" s="94"/>
      <c r="AL161" s="94"/>
      <c r="AM161" s="94"/>
      <c r="AN161" s="94"/>
      <c r="AO161" s="94"/>
      <c r="AP161" s="94"/>
      <c r="AQ161" s="94"/>
      <c r="AR161" s="94"/>
      <c r="AS161" s="94"/>
    </row>
    <row r="162" spans="1: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94"/>
      <c r="AI162" s="94"/>
      <c r="AJ162" s="94"/>
      <c r="AK162" s="94"/>
      <c r="AL162" s="94"/>
      <c r="AM162" s="94"/>
      <c r="AN162" s="94"/>
      <c r="AO162" s="94"/>
      <c r="AP162" s="94"/>
      <c r="AQ162" s="94"/>
      <c r="AR162" s="94"/>
      <c r="AS162" s="94"/>
    </row>
    <row r="163" spans="1: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94"/>
      <c r="AI163" s="94"/>
      <c r="AJ163" s="94"/>
      <c r="AK163" s="94"/>
      <c r="AL163" s="94"/>
      <c r="AM163" s="94"/>
      <c r="AN163" s="94"/>
      <c r="AO163" s="94"/>
      <c r="AP163" s="94"/>
      <c r="AQ163" s="94"/>
      <c r="AR163" s="94"/>
      <c r="AS163" s="94"/>
    </row>
    <row r="164" spans="1: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94"/>
      <c r="AI164" s="94"/>
      <c r="AJ164" s="94"/>
      <c r="AK164" s="94"/>
      <c r="AL164" s="94"/>
      <c r="AM164" s="94"/>
      <c r="AN164" s="94"/>
      <c r="AO164" s="94"/>
      <c r="AP164" s="94"/>
      <c r="AQ164" s="94"/>
      <c r="AR164" s="94"/>
      <c r="AS164" s="94"/>
    </row>
    <row r="165" spans="1: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94"/>
      <c r="AI165" s="94"/>
      <c r="AJ165" s="94"/>
      <c r="AK165" s="94"/>
      <c r="AL165" s="94"/>
      <c r="AM165" s="94"/>
      <c r="AN165" s="94"/>
      <c r="AO165" s="94"/>
      <c r="AP165" s="94"/>
      <c r="AQ165" s="94"/>
      <c r="AR165" s="94"/>
      <c r="AS165" s="94"/>
    </row>
    <row r="166" spans="1: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94"/>
      <c r="AI166" s="94"/>
      <c r="AJ166" s="94"/>
      <c r="AK166" s="94"/>
      <c r="AL166" s="94"/>
      <c r="AM166" s="94"/>
      <c r="AN166" s="94"/>
      <c r="AO166" s="94"/>
      <c r="AP166" s="94"/>
      <c r="AQ166" s="94"/>
      <c r="AR166" s="94"/>
      <c r="AS166" s="94"/>
    </row>
    <row r="167" spans="1: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94"/>
      <c r="AI167" s="94"/>
      <c r="AJ167" s="94"/>
      <c r="AK167" s="94"/>
      <c r="AL167" s="94"/>
      <c r="AM167" s="94"/>
      <c r="AN167" s="94"/>
      <c r="AO167" s="94"/>
      <c r="AP167" s="94"/>
      <c r="AQ167" s="94"/>
      <c r="AR167" s="94"/>
      <c r="AS167" s="94"/>
    </row>
    <row r="168" spans="1: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94"/>
      <c r="AI168" s="94"/>
      <c r="AJ168" s="94"/>
      <c r="AK168" s="94"/>
      <c r="AL168" s="94"/>
      <c r="AM168" s="94"/>
      <c r="AN168" s="94"/>
      <c r="AO168" s="94"/>
      <c r="AP168" s="94"/>
      <c r="AQ168" s="94"/>
      <c r="AR168" s="94"/>
      <c r="AS168" s="94"/>
    </row>
    <row r="169" spans="1: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94"/>
      <c r="AI169" s="94"/>
      <c r="AJ169" s="94"/>
      <c r="AK169" s="94"/>
      <c r="AL169" s="94"/>
      <c r="AM169" s="94"/>
      <c r="AN169" s="94"/>
      <c r="AO169" s="94"/>
      <c r="AP169" s="94"/>
      <c r="AQ169" s="94"/>
      <c r="AR169" s="94"/>
      <c r="AS169" s="94"/>
    </row>
    <row r="170" spans="1: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94"/>
      <c r="AI170" s="94"/>
      <c r="AJ170" s="94"/>
      <c r="AK170" s="94"/>
      <c r="AL170" s="94"/>
      <c r="AM170" s="94"/>
      <c r="AN170" s="94"/>
      <c r="AO170" s="94"/>
      <c r="AP170" s="94"/>
      <c r="AQ170" s="94"/>
      <c r="AR170" s="94"/>
      <c r="AS170" s="94"/>
    </row>
    <row r="171" spans="1: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94"/>
      <c r="AI171" s="94"/>
      <c r="AJ171" s="94"/>
      <c r="AK171" s="94"/>
      <c r="AL171" s="94"/>
      <c r="AM171" s="94"/>
      <c r="AN171" s="94"/>
      <c r="AO171" s="94"/>
      <c r="AP171" s="94"/>
      <c r="AQ171" s="94"/>
      <c r="AR171" s="94"/>
      <c r="AS171" s="94"/>
    </row>
    <row r="172" spans="1: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94"/>
      <c r="AI172" s="94"/>
      <c r="AJ172" s="94"/>
      <c r="AK172" s="94"/>
      <c r="AL172" s="94"/>
      <c r="AM172" s="94"/>
      <c r="AN172" s="94"/>
      <c r="AO172" s="94"/>
      <c r="AP172" s="94"/>
      <c r="AQ172" s="94"/>
      <c r="AR172" s="94"/>
      <c r="AS172" s="94"/>
    </row>
    <row r="173" spans="1: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94"/>
      <c r="AI173" s="94"/>
      <c r="AJ173" s="94"/>
      <c r="AK173" s="94"/>
      <c r="AL173" s="94"/>
      <c r="AM173" s="94"/>
      <c r="AN173" s="94"/>
      <c r="AO173" s="94"/>
      <c r="AP173" s="94"/>
      <c r="AQ173" s="94"/>
      <c r="AR173" s="94"/>
      <c r="AS173" s="94"/>
    </row>
    <row r="174" spans="1: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94"/>
      <c r="AI174" s="94"/>
      <c r="AJ174" s="94"/>
      <c r="AK174" s="94"/>
      <c r="AL174" s="94"/>
      <c r="AM174" s="94"/>
      <c r="AN174" s="94"/>
      <c r="AO174" s="94"/>
      <c r="AP174" s="94"/>
      <c r="AQ174" s="94"/>
      <c r="AR174" s="94"/>
      <c r="AS174" s="94"/>
    </row>
    <row r="175" spans="1: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94"/>
      <c r="AI175" s="94"/>
      <c r="AJ175" s="94"/>
      <c r="AK175" s="94"/>
      <c r="AL175" s="94"/>
      <c r="AM175" s="94"/>
      <c r="AN175" s="94"/>
      <c r="AO175" s="94"/>
      <c r="AP175" s="94"/>
      <c r="AQ175" s="94"/>
      <c r="AR175" s="94"/>
      <c r="AS175" s="94"/>
    </row>
    <row r="176" spans="1: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94"/>
      <c r="AI176" s="94"/>
      <c r="AJ176" s="94"/>
      <c r="AK176" s="94"/>
      <c r="AL176" s="94"/>
      <c r="AM176" s="94"/>
      <c r="AN176" s="94"/>
      <c r="AO176" s="94"/>
      <c r="AP176" s="94"/>
      <c r="AQ176" s="94"/>
      <c r="AR176" s="94"/>
      <c r="AS176" s="94"/>
    </row>
    <row r="177" spans="1: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94"/>
      <c r="AI177" s="94"/>
      <c r="AJ177" s="94"/>
      <c r="AK177" s="94"/>
      <c r="AL177" s="94"/>
      <c r="AM177" s="94"/>
      <c r="AN177" s="94"/>
      <c r="AO177" s="94"/>
      <c r="AP177" s="94"/>
      <c r="AQ177" s="94"/>
      <c r="AR177" s="94"/>
      <c r="AS177" s="94"/>
    </row>
    <row r="178" spans="1: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94"/>
      <c r="AI178" s="94"/>
      <c r="AJ178" s="94"/>
      <c r="AK178" s="94"/>
      <c r="AL178" s="94"/>
      <c r="AM178" s="94"/>
      <c r="AN178" s="94"/>
      <c r="AO178" s="94"/>
      <c r="AP178" s="94"/>
      <c r="AQ178" s="94"/>
      <c r="AR178" s="94"/>
      <c r="AS178" s="94"/>
    </row>
    <row r="179" spans="1: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94"/>
      <c r="AI179" s="94"/>
      <c r="AJ179" s="94"/>
      <c r="AK179" s="94"/>
      <c r="AL179" s="94"/>
      <c r="AM179" s="94"/>
      <c r="AN179" s="94"/>
      <c r="AO179" s="94"/>
      <c r="AP179" s="94"/>
      <c r="AQ179" s="94"/>
      <c r="AR179" s="94"/>
      <c r="AS179" s="94"/>
    </row>
    <row r="180" spans="1: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94"/>
      <c r="AI180" s="94"/>
      <c r="AJ180" s="94"/>
      <c r="AK180" s="94"/>
      <c r="AL180" s="94"/>
      <c r="AM180" s="94"/>
      <c r="AN180" s="94"/>
      <c r="AO180" s="94"/>
      <c r="AP180" s="94"/>
      <c r="AQ180" s="94"/>
      <c r="AR180" s="94"/>
      <c r="AS180" s="94"/>
    </row>
    <row r="181" spans="1: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94"/>
      <c r="AI181" s="94"/>
      <c r="AJ181" s="94"/>
      <c r="AK181" s="94"/>
      <c r="AL181" s="94"/>
      <c r="AM181" s="94"/>
      <c r="AN181" s="94"/>
      <c r="AO181" s="94"/>
      <c r="AP181" s="94"/>
      <c r="AQ181" s="94"/>
      <c r="AR181" s="94"/>
      <c r="AS181" s="94"/>
    </row>
    <row r="182" spans="1: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94"/>
      <c r="AI182" s="94"/>
      <c r="AJ182" s="94"/>
      <c r="AK182" s="94"/>
      <c r="AL182" s="94"/>
      <c r="AM182" s="94"/>
      <c r="AN182" s="94"/>
      <c r="AO182" s="94"/>
      <c r="AP182" s="94"/>
      <c r="AQ182" s="94"/>
      <c r="AR182" s="94"/>
      <c r="AS182" s="94"/>
    </row>
    <row r="183" spans="1: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94"/>
      <c r="AI183" s="94"/>
      <c r="AJ183" s="94"/>
      <c r="AK183" s="94"/>
      <c r="AL183" s="94"/>
      <c r="AM183" s="94"/>
      <c r="AN183" s="94"/>
      <c r="AO183" s="94"/>
      <c r="AP183" s="94"/>
      <c r="AQ183" s="94"/>
      <c r="AR183" s="94"/>
      <c r="AS183" s="94"/>
    </row>
    <row r="184" spans="1: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94"/>
      <c r="AI184" s="94"/>
      <c r="AJ184" s="94"/>
      <c r="AK184" s="94"/>
      <c r="AL184" s="94"/>
      <c r="AM184" s="94"/>
      <c r="AN184" s="94"/>
      <c r="AO184" s="94"/>
      <c r="AP184" s="94"/>
      <c r="AQ184" s="94"/>
      <c r="AR184" s="94"/>
      <c r="AS184" s="94"/>
    </row>
    <row r="185" spans="1: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94"/>
      <c r="AI185" s="94"/>
      <c r="AJ185" s="94"/>
      <c r="AK185" s="94"/>
      <c r="AL185" s="94"/>
      <c r="AM185" s="94"/>
      <c r="AN185" s="94"/>
      <c r="AO185" s="94"/>
      <c r="AP185" s="94"/>
      <c r="AQ185" s="94"/>
      <c r="AR185" s="94"/>
      <c r="AS185" s="94"/>
    </row>
    <row r="186" spans="1: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94"/>
      <c r="AI186" s="94"/>
      <c r="AJ186" s="94"/>
      <c r="AK186" s="94"/>
      <c r="AL186" s="94"/>
      <c r="AM186" s="94"/>
      <c r="AN186" s="94"/>
      <c r="AO186" s="94"/>
      <c r="AP186" s="94"/>
      <c r="AQ186" s="94"/>
      <c r="AR186" s="94"/>
      <c r="AS186" s="94"/>
    </row>
    <row r="187" spans="1: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94"/>
      <c r="AI187" s="94"/>
      <c r="AJ187" s="94"/>
      <c r="AK187" s="94"/>
      <c r="AL187" s="94"/>
      <c r="AM187" s="94"/>
      <c r="AN187" s="94"/>
      <c r="AO187" s="94"/>
      <c r="AP187" s="94"/>
      <c r="AQ187" s="94"/>
      <c r="AR187" s="94"/>
      <c r="AS187" s="94"/>
    </row>
    <row r="188" spans="1: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94"/>
      <c r="AI188" s="94"/>
      <c r="AJ188" s="94"/>
      <c r="AK188" s="94"/>
      <c r="AL188" s="94"/>
      <c r="AM188" s="94"/>
      <c r="AN188" s="94"/>
      <c r="AO188" s="94"/>
      <c r="AP188" s="94"/>
      <c r="AQ188" s="94"/>
      <c r="AR188" s="94"/>
      <c r="AS188" s="94"/>
    </row>
    <row r="189" spans="1: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94"/>
      <c r="AI189" s="94"/>
      <c r="AJ189" s="94"/>
      <c r="AK189" s="94"/>
      <c r="AL189" s="94"/>
      <c r="AM189" s="94"/>
      <c r="AN189" s="94"/>
      <c r="AO189" s="94"/>
      <c r="AP189" s="94"/>
      <c r="AQ189" s="94"/>
      <c r="AR189" s="94"/>
      <c r="AS189" s="94"/>
    </row>
    <row r="190" spans="1: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94"/>
      <c r="AI190" s="94"/>
      <c r="AJ190" s="94"/>
      <c r="AK190" s="94"/>
      <c r="AL190" s="94"/>
      <c r="AM190" s="94"/>
      <c r="AN190" s="94"/>
      <c r="AO190" s="94"/>
      <c r="AP190" s="94"/>
      <c r="AQ190" s="94"/>
      <c r="AR190" s="94"/>
      <c r="AS190" s="94"/>
    </row>
    <row r="191" spans="1: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94"/>
      <c r="AI191" s="94"/>
      <c r="AJ191" s="94"/>
      <c r="AK191" s="94"/>
      <c r="AL191" s="94"/>
      <c r="AM191" s="94"/>
      <c r="AN191" s="94"/>
      <c r="AO191" s="94"/>
      <c r="AP191" s="94"/>
      <c r="AQ191" s="94"/>
      <c r="AR191" s="94"/>
      <c r="AS191" s="94"/>
    </row>
    <row r="192" spans="1: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94"/>
      <c r="AI192" s="94"/>
      <c r="AJ192" s="94"/>
      <c r="AK192" s="94"/>
      <c r="AL192" s="94"/>
      <c r="AM192" s="94"/>
      <c r="AN192" s="94"/>
      <c r="AO192" s="94"/>
      <c r="AP192" s="94"/>
      <c r="AQ192" s="94"/>
      <c r="AR192" s="94"/>
      <c r="AS192" s="94"/>
    </row>
    <row r="193" spans="1: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94"/>
      <c r="AI193" s="94"/>
      <c r="AJ193" s="94"/>
      <c r="AK193" s="94"/>
      <c r="AL193" s="94"/>
      <c r="AM193" s="94"/>
      <c r="AN193" s="94"/>
      <c r="AO193" s="94"/>
      <c r="AP193" s="94"/>
      <c r="AQ193" s="94"/>
      <c r="AR193" s="94"/>
      <c r="AS193" s="94"/>
    </row>
    <row r="194" spans="1: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94"/>
      <c r="AI194" s="94"/>
      <c r="AJ194" s="94"/>
      <c r="AK194" s="94"/>
      <c r="AL194" s="94"/>
      <c r="AM194" s="94"/>
      <c r="AN194" s="94"/>
      <c r="AO194" s="94"/>
      <c r="AP194" s="94"/>
      <c r="AQ194" s="94"/>
      <c r="AR194" s="94"/>
      <c r="AS194" s="94"/>
    </row>
    <row r="195" spans="1: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94"/>
      <c r="AI195" s="94"/>
      <c r="AJ195" s="94"/>
      <c r="AK195" s="94"/>
      <c r="AL195" s="94"/>
      <c r="AM195" s="94"/>
      <c r="AN195" s="94"/>
      <c r="AO195" s="94"/>
      <c r="AP195" s="94"/>
      <c r="AQ195" s="94"/>
      <c r="AR195" s="94"/>
      <c r="AS195" s="94"/>
    </row>
    <row r="196" spans="1: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94"/>
      <c r="AI196" s="94"/>
      <c r="AJ196" s="94"/>
      <c r="AK196" s="94"/>
      <c r="AL196" s="94"/>
      <c r="AM196" s="94"/>
      <c r="AN196" s="94"/>
      <c r="AO196" s="94"/>
      <c r="AP196" s="94"/>
      <c r="AQ196" s="94"/>
      <c r="AR196" s="94"/>
      <c r="AS196" s="94"/>
    </row>
    <row r="197" spans="1: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94"/>
      <c r="AI197" s="94"/>
      <c r="AJ197" s="94"/>
      <c r="AK197" s="94"/>
      <c r="AL197" s="94"/>
      <c r="AM197" s="94"/>
      <c r="AN197" s="94"/>
      <c r="AO197" s="94"/>
      <c r="AP197" s="94"/>
      <c r="AQ197" s="94"/>
      <c r="AR197" s="94"/>
      <c r="AS197" s="94"/>
    </row>
    <row r="198" spans="1: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94"/>
      <c r="AI198" s="94"/>
      <c r="AJ198" s="94"/>
      <c r="AK198" s="94"/>
      <c r="AL198" s="94"/>
      <c r="AM198" s="94"/>
      <c r="AN198" s="94"/>
      <c r="AO198" s="94"/>
      <c r="AP198" s="94"/>
      <c r="AQ198" s="94"/>
      <c r="AR198" s="94"/>
      <c r="AS198" s="94"/>
    </row>
    <row r="199" spans="1: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94"/>
      <c r="AI199" s="94"/>
      <c r="AJ199" s="94"/>
      <c r="AK199" s="94"/>
      <c r="AL199" s="94"/>
      <c r="AM199" s="94"/>
      <c r="AN199" s="94"/>
      <c r="AO199" s="94"/>
      <c r="AP199" s="94"/>
      <c r="AQ199" s="94"/>
      <c r="AR199" s="94"/>
      <c r="AS199" s="94"/>
    </row>
    <row r="200" spans="1: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94"/>
      <c r="AI200" s="94"/>
      <c r="AJ200" s="94"/>
      <c r="AK200" s="94"/>
      <c r="AL200" s="94"/>
      <c r="AM200" s="94"/>
      <c r="AN200" s="94"/>
      <c r="AO200" s="94"/>
      <c r="AP200" s="94"/>
      <c r="AQ200" s="94"/>
      <c r="AR200" s="94"/>
      <c r="AS200" s="94"/>
    </row>
    <row r="201" spans="1: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94"/>
      <c r="AI201" s="94"/>
      <c r="AJ201" s="94"/>
      <c r="AK201" s="94"/>
      <c r="AL201" s="94"/>
      <c r="AM201" s="94"/>
      <c r="AN201" s="94"/>
      <c r="AO201" s="94"/>
      <c r="AP201" s="94"/>
      <c r="AQ201" s="94"/>
      <c r="AR201" s="94"/>
      <c r="AS201" s="94"/>
    </row>
    <row r="202" spans="1: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94"/>
      <c r="AI202" s="94"/>
      <c r="AJ202" s="94"/>
      <c r="AK202" s="94"/>
      <c r="AL202" s="94"/>
      <c r="AM202" s="94"/>
      <c r="AN202" s="94"/>
      <c r="AO202" s="94"/>
      <c r="AP202" s="94"/>
      <c r="AQ202" s="94"/>
      <c r="AR202" s="94"/>
      <c r="AS202" s="94"/>
    </row>
    <row r="203" spans="1: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94"/>
      <c r="AI203" s="94"/>
      <c r="AJ203" s="94"/>
      <c r="AK203" s="94"/>
      <c r="AL203" s="94"/>
      <c r="AM203" s="94"/>
      <c r="AN203" s="94"/>
      <c r="AO203" s="94"/>
      <c r="AP203" s="94"/>
      <c r="AQ203" s="94"/>
      <c r="AR203" s="94"/>
      <c r="AS203" s="94"/>
    </row>
    <row r="204" spans="1: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94"/>
      <c r="AI204" s="94"/>
      <c r="AJ204" s="94"/>
      <c r="AK204" s="94"/>
      <c r="AL204" s="94"/>
      <c r="AM204" s="94"/>
      <c r="AN204" s="94"/>
      <c r="AO204" s="94"/>
      <c r="AP204" s="94"/>
      <c r="AQ204" s="94"/>
      <c r="AR204" s="94"/>
      <c r="AS204" s="94"/>
    </row>
    <row r="205" spans="1: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94"/>
      <c r="AI205" s="94"/>
      <c r="AJ205" s="94"/>
      <c r="AK205" s="94"/>
      <c r="AL205" s="94"/>
      <c r="AM205" s="94"/>
      <c r="AN205" s="94"/>
      <c r="AO205" s="94"/>
      <c r="AP205" s="94"/>
      <c r="AQ205" s="94"/>
      <c r="AR205" s="94"/>
      <c r="AS205" s="94"/>
    </row>
    <row r="206" spans="1: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94"/>
      <c r="AI206" s="94"/>
      <c r="AJ206" s="94"/>
      <c r="AK206" s="94"/>
      <c r="AL206" s="94"/>
      <c r="AM206" s="94"/>
      <c r="AN206" s="94"/>
      <c r="AO206" s="94"/>
      <c r="AP206" s="94"/>
      <c r="AQ206" s="94"/>
      <c r="AR206" s="94"/>
      <c r="AS206" s="94"/>
    </row>
    <row r="207" spans="1: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94"/>
      <c r="AI207" s="94"/>
      <c r="AJ207" s="94"/>
      <c r="AK207" s="94"/>
      <c r="AL207" s="94"/>
      <c r="AM207" s="94"/>
      <c r="AN207" s="94"/>
      <c r="AO207" s="94"/>
      <c r="AP207" s="94"/>
      <c r="AQ207" s="94"/>
      <c r="AR207" s="94"/>
      <c r="AS207" s="94"/>
    </row>
    <row r="208" spans="1: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94"/>
      <c r="AI208" s="94"/>
      <c r="AJ208" s="94"/>
      <c r="AK208" s="94"/>
      <c r="AL208" s="94"/>
      <c r="AM208" s="94"/>
      <c r="AN208" s="94"/>
      <c r="AO208" s="94"/>
      <c r="AP208" s="94"/>
      <c r="AQ208" s="94"/>
      <c r="AR208" s="94"/>
      <c r="AS208" s="94"/>
    </row>
    <row r="209" spans="1: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94"/>
      <c r="AI209" s="94"/>
      <c r="AJ209" s="94"/>
      <c r="AK209" s="94"/>
      <c r="AL209" s="94"/>
      <c r="AM209" s="94"/>
      <c r="AN209" s="94"/>
      <c r="AO209" s="94"/>
      <c r="AP209" s="94"/>
      <c r="AQ209" s="94"/>
      <c r="AR209" s="94"/>
      <c r="AS209" s="94"/>
    </row>
    <row r="210" spans="1: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94"/>
      <c r="AI210" s="94"/>
      <c r="AJ210" s="94"/>
      <c r="AK210" s="94"/>
      <c r="AL210" s="94"/>
      <c r="AM210" s="94"/>
      <c r="AN210" s="94"/>
      <c r="AO210" s="94"/>
      <c r="AP210" s="94"/>
      <c r="AQ210" s="94"/>
      <c r="AR210" s="94"/>
      <c r="AS210" s="94"/>
    </row>
    <row r="211" spans="1: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94"/>
      <c r="AI211" s="94"/>
      <c r="AJ211" s="94"/>
      <c r="AK211" s="94"/>
      <c r="AL211" s="94"/>
      <c r="AM211" s="94"/>
      <c r="AN211" s="94"/>
      <c r="AO211" s="94"/>
      <c r="AP211" s="94"/>
      <c r="AQ211" s="94"/>
      <c r="AR211" s="94"/>
      <c r="AS211" s="94"/>
    </row>
    <row r="212" spans="1: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94"/>
      <c r="AI212" s="94"/>
      <c r="AJ212" s="94"/>
      <c r="AK212" s="94"/>
      <c r="AL212" s="94"/>
      <c r="AM212" s="94"/>
      <c r="AN212" s="94"/>
      <c r="AO212" s="94"/>
      <c r="AP212" s="94"/>
      <c r="AQ212" s="94"/>
      <c r="AR212" s="94"/>
      <c r="AS212" s="94"/>
    </row>
    <row r="213" spans="1: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94"/>
      <c r="AI213" s="94"/>
      <c r="AJ213" s="94"/>
      <c r="AK213" s="94"/>
      <c r="AL213" s="94"/>
      <c r="AM213" s="94"/>
      <c r="AN213" s="94"/>
      <c r="AO213" s="94"/>
      <c r="AP213" s="94"/>
      <c r="AQ213" s="94"/>
      <c r="AR213" s="94"/>
      <c r="AS213" s="94"/>
    </row>
    <row r="214" spans="1: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94"/>
      <c r="AI214" s="94"/>
      <c r="AJ214" s="94"/>
      <c r="AK214" s="94"/>
      <c r="AL214" s="94"/>
      <c r="AM214" s="94"/>
      <c r="AN214" s="94"/>
      <c r="AO214" s="94"/>
      <c r="AP214" s="94"/>
      <c r="AQ214" s="94"/>
      <c r="AR214" s="94"/>
      <c r="AS214" s="94"/>
    </row>
    <row r="215" spans="1: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94"/>
      <c r="AI215" s="94"/>
      <c r="AJ215" s="94"/>
      <c r="AK215" s="94"/>
      <c r="AL215" s="94"/>
      <c r="AM215" s="94"/>
      <c r="AN215" s="94"/>
      <c r="AO215" s="94"/>
      <c r="AP215" s="94"/>
      <c r="AQ215" s="94"/>
      <c r="AR215" s="94"/>
      <c r="AS215" s="94"/>
    </row>
    <row r="216" spans="1: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94"/>
      <c r="AI216" s="94"/>
      <c r="AJ216" s="94"/>
      <c r="AK216" s="94"/>
      <c r="AL216" s="94"/>
      <c r="AM216" s="94"/>
      <c r="AN216" s="94"/>
      <c r="AO216" s="94"/>
      <c r="AP216" s="94"/>
      <c r="AQ216" s="94"/>
      <c r="AR216" s="94"/>
      <c r="AS216" s="94"/>
    </row>
    <row r="217" spans="1: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94"/>
      <c r="AI217" s="94"/>
      <c r="AJ217" s="94"/>
      <c r="AK217" s="94"/>
      <c r="AL217" s="94"/>
      <c r="AM217" s="94"/>
      <c r="AN217" s="94"/>
      <c r="AO217" s="94"/>
      <c r="AP217" s="94"/>
      <c r="AQ217" s="94"/>
      <c r="AR217" s="94"/>
      <c r="AS217" s="94"/>
    </row>
    <row r="218" spans="1: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94"/>
      <c r="AI218" s="94"/>
      <c r="AJ218" s="94"/>
      <c r="AK218" s="94"/>
      <c r="AL218" s="94"/>
      <c r="AM218" s="94"/>
      <c r="AN218" s="94"/>
      <c r="AO218" s="94"/>
      <c r="AP218" s="94"/>
      <c r="AQ218" s="94"/>
      <c r="AR218" s="94"/>
      <c r="AS218" s="94"/>
    </row>
    <row r="219" spans="1: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94"/>
      <c r="AI219" s="94"/>
      <c r="AJ219" s="94"/>
      <c r="AK219" s="94"/>
      <c r="AL219" s="94"/>
      <c r="AM219" s="94"/>
      <c r="AN219" s="94"/>
      <c r="AO219" s="94"/>
      <c r="AP219" s="94"/>
      <c r="AQ219" s="94"/>
      <c r="AR219" s="94"/>
      <c r="AS219" s="94"/>
    </row>
    <row r="220" spans="1: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94"/>
      <c r="AI220" s="94"/>
      <c r="AJ220" s="94"/>
      <c r="AK220" s="94"/>
      <c r="AL220" s="94"/>
      <c r="AM220" s="94"/>
      <c r="AN220" s="94"/>
      <c r="AO220" s="94"/>
      <c r="AP220" s="94"/>
      <c r="AQ220" s="94"/>
      <c r="AR220" s="94"/>
      <c r="AS220" s="94"/>
    </row>
    <row r="221" spans="1: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94"/>
      <c r="AI221" s="94"/>
      <c r="AJ221" s="94"/>
      <c r="AK221" s="94"/>
      <c r="AL221" s="94"/>
      <c r="AM221" s="94"/>
      <c r="AN221" s="94"/>
      <c r="AO221" s="94"/>
      <c r="AP221" s="94"/>
      <c r="AQ221" s="94"/>
      <c r="AR221" s="94"/>
      <c r="AS221" s="94"/>
    </row>
    <row r="222" spans="1: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94"/>
      <c r="AI222" s="94"/>
      <c r="AJ222" s="94"/>
      <c r="AK222" s="94"/>
      <c r="AL222" s="94"/>
      <c r="AM222" s="94"/>
      <c r="AN222" s="94"/>
      <c r="AO222" s="94"/>
      <c r="AP222" s="94"/>
      <c r="AQ222" s="94"/>
      <c r="AR222" s="94"/>
      <c r="AS222" s="94"/>
    </row>
    <row r="223" spans="1: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94"/>
      <c r="AI223" s="94"/>
      <c r="AJ223" s="94"/>
      <c r="AK223" s="94"/>
      <c r="AL223" s="94"/>
      <c r="AM223" s="94"/>
      <c r="AN223" s="94"/>
      <c r="AO223" s="94"/>
      <c r="AP223" s="94"/>
      <c r="AQ223" s="94"/>
      <c r="AR223" s="94"/>
      <c r="AS223" s="94"/>
    </row>
    <row r="224" spans="1: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94"/>
      <c r="AI224" s="94"/>
      <c r="AJ224" s="94"/>
      <c r="AK224" s="94"/>
      <c r="AL224" s="94"/>
      <c r="AM224" s="94"/>
      <c r="AN224" s="94"/>
      <c r="AO224" s="94"/>
      <c r="AP224" s="94"/>
      <c r="AQ224" s="94"/>
      <c r="AR224" s="94"/>
      <c r="AS224" s="94"/>
    </row>
    <row r="225" spans="1: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94"/>
      <c r="AI225" s="94"/>
      <c r="AJ225" s="94"/>
      <c r="AK225" s="94"/>
      <c r="AL225" s="94"/>
      <c r="AM225" s="94"/>
      <c r="AN225" s="94"/>
      <c r="AO225" s="94"/>
      <c r="AP225" s="94"/>
      <c r="AQ225" s="94"/>
      <c r="AR225" s="94"/>
      <c r="AS225" s="94"/>
    </row>
    <row r="226" spans="1: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94"/>
      <c r="AI226" s="94"/>
      <c r="AJ226" s="94"/>
      <c r="AK226" s="94"/>
      <c r="AL226" s="94"/>
      <c r="AM226" s="94"/>
      <c r="AN226" s="94"/>
      <c r="AO226" s="94"/>
      <c r="AP226" s="94"/>
      <c r="AQ226" s="94"/>
      <c r="AR226" s="94"/>
      <c r="AS226" s="94"/>
    </row>
    <row r="227" spans="1: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94"/>
      <c r="AI227" s="94"/>
      <c r="AJ227" s="94"/>
      <c r="AK227" s="94"/>
      <c r="AL227" s="94"/>
      <c r="AM227" s="94"/>
      <c r="AN227" s="94"/>
      <c r="AO227" s="94"/>
      <c r="AP227" s="94"/>
      <c r="AQ227" s="94"/>
      <c r="AR227" s="94"/>
      <c r="AS227" s="94"/>
    </row>
    <row r="228" spans="1: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94"/>
      <c r="AI228" s="94"/>
      <c r="AJ228" s="94"/>
      <c r="AK228" s="94"/>
      <c r="AL228" s="94"/>
      <c r="AM228" s="94"/>
      <c r="AN228" s="94"/>
      <c r="AO228" s="94"/>
      <c r="AP228" s="94"/>
      <c r="AQ228" s="94"/>
      <c r="AR228" s="94"/>
      <c r="AS228" s="94"/>
    </row>
    <row r="229" spans="1: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94"/>
      <c r="AI229" s="94"/>
      <c r="AJ229" s="94"/>
      <c r="AK229" s="94"/>
      <c r="AL229" s="94"/>
      <c r="AM229" s="94"/>
      <c r="AN229" s="94"/>
      <c r="AO229" s="94"/>
      <c r="AP229" s="94"/>
      <c r="AQ229" s="94"/>
      <c r="AR229" s="94"/>
      <c r="AS229" s="94"/>
    </row>
    <row r="230" spans="1: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94"/>
      <c r="AI230" s="94"/>
      <c r="AJ230" s="94"/>
      <c r="AK230" s="94"/>
      <c r="AL230" s="94"/>
      <c r="AM230" s="94"/>
      <c r="AN230" s="94"/>
      <c r="AO230" s="94"/>
      <c r="AP230" s="94"/>
      <c r="AQ230" s="94"/>
      <c r="AR230" s="94"/>
      <c r="AS230" s="94"/>
    </row>
    <row r="231" spans="1: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94"/>
      <c r="AI231" s="94"/>
      <c r="AJ231" s="94"/>
      <c r="AK231" s="94"/>
      <c r="AL231" s="94"/>
      <c r="AM231" s="94"/>
      <c r="AN231" s="94"/>
      <c r="AO231" s="94"/>
      <c r="AP231" s="94"/>
      <c r="AQ231" s="94"/>
      <c r="AR231" s="94"/>
      <c r="AS231" s="94"/>
    </row>
    <row r="232" spans="1: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94"/>
      <c r="AI232" s="94"/>
      <c r="AJ232" s="94"/>
      <c r="AK232" s="94"/>
      <c r="AL232" s="94"/>
      <c r="AM232" s="94"/>
      <c r="AN232" s="94"/>
      <c r="AO232" s="94"/>
      <c r="AP232" s="94"/>
      <c r="AQ232" s="94"/>
      <c r="AR232" s="94"/>
      <c r="AS232" s="94"/>
    </row>
    <row r="233" spans="1: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94"/>
      <c r="AI233" s="94"/>
      <c r="AJ233" s="94"/>
      <c r="AK233" s="94"/>
      <c r="AL233" s="94"/>
      <c r="AM233" s="94"/>
      <c r="AN233" s="94"/>
      <c r="AO233" s="94"/>
      <c r="AP233" s="94"/>
      <c r="AQ233" s="94"/>
      <c r="AR233" s="94"/>
      <c r="AS233" s="94"/>
    </row>
    <row r="234" spans="1: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94"/>
      <c r="AI234" s="94"/>
      <c r="AJ234" s="94"/>
      <c r="AK234" s="94"/>
      <c r="AL234" s="94"/>
      <c r="AM234" s="94"/>
      <c r="AN234" s="94"/>
      <c r="AO234" s="94"/>
      <c r="AP234" s="94"/>
      <c r="AQ234" s="94"/>
      <c r="AR234" s="94"/>
      <c r="AS234" s="94"/>
    </row>
    <row r="235" spans="1: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94"/>
      <c r="AI235" s="94"/>
      <c r="AJ235" s="94"/>
      <c r="AK235" s="94"/>
      <c r="AL235" s="94"/>
      <c r="AM235" s="94"/>
      <c r="AN235" s="94"/>
      <c r="AO235" s="94"/>
      <c r="AP235" s="94"/>
      <c r="AQ235" s="94"/>
      <c r="AR235" s="94"/>
      <c r="AS235" s="94"/>
    </row>
    <row r="236" spans="1: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94"/>
      <c r="AI236" s="94"/>
      <c r="AJ236" s="94"/>
      <c r="AK236" s="94"/>
      <c r="AL236" s="94"/>
      <c r="AM236" s="94"/>
      <c r="AN236" s="94"/>
      <c r="AO236" s="94"/>
      <c r="AP236" s="94"/>
      <c r="AQ236" s="94"/>
      <c r="AR236" s="94"/>
      <c r="AS236" s="94"/>
    </row>
    <row r="237" spans="1: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94"/>
      <c r="AI237" s="94"/>
      <c r="AJ237" s="94"/>
      <c r="AK237" s="94"/>
      <c r="AL237" s="94"/>
      <c r="AM237" s="94"/>
      <c r="AN237" s="94"/>
      <c r="AO237" s="94"/>
      <c r="AP237" s="94"/>
      <c r="AQ237" s="94"/>
      <c r="AR237" s="94"/>
      <c r="AS237" s="94"/>
    </row>
    <row r="238" spans="1: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94"/>
      <c r="AI238" s="94"/>
      <c r="AJ238" s="94"/>
      <c r="AK238" s="94"/>
      <c r="AL238" s="94"/>
      <c r="AM238" s="94"/>
      <c r="AN238" s="94"/>
      <c r="AO238" s="94"/>
      <c r="AP238" s="94"/>
      <c r="AQ238" s="94"/>
      <c r="AR238" s="94"/>
      <c r="AS238" s="94"/>
    </row>
    <row r="239" spans="1: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94"/>
      <c r="AI239" s="94"/>
      <c r="AJ239" s="94"/>
      <c r="AK239" s="94"/>
      <c r="AL239" s="94"/>
      <c r="AM239" s="94"/>
      <c r="AN239" s="94"/>
      <c r="AO239" s="94"/>
      <c r="AP239" s="94"/>
      <c r="AQ239" s="94"/>
      <c r="AR239" s="94"/>
      <c r="AS239" s="94"/>
    </row>
    <row r="240" spans="1: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94"/>
      <c r="AI240" s="94"/>
      <c r="AJ240" s="94"/>
      <c r="AK240" s="94"/>
      <c r="AL240" s="94"/>
      <c r="AM240" s="94"/>
      <c r="AN240" s="94"/>
      <c r="AO240" s="94"/>
      <c r="AP240" s="94"/>
      <c r="AQ240" s="94"/>
      <c r="AR240" s="94"/>
      <c r="AS240" s="94"/>
    </row>
    <row r="241" spans="1: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94"/>
      <c r="AI241" s="94"/>
      <c r="AJ241" s="94"/>
      <c r="AK241" s="94"/>
      <c r="AL241" s="94"/>
      <c r="AM241" s="94"/>
      <c r="AN241" s="94"/>
      <c r="AO241" s="94"/>
      <c r="AP241" s="94"/>
      <c r="AQ241" s="94"/>
      <c r="AR241" s="94"/>
      <c r="AS241" s="94"/>
    </row>
    <row r="242" spans="1: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94"/>
      <c r="AI242" s="94"/>
      <c r="AJ242" s="94"/>
      <c r="AK242" s="94"/>
      <c r="AL242" s="94"/>
      <c r="AM242" s="94"/>
      <c r="AN242" s="94"/>
      <c r="AO242" s="94"/>
      <c r="AP242" s="94"/>
      <c r="AQ242" s="94"/>
      <c r="AR242" s="94"/>
      <c r="AS242" s="94"/>
    </row>
    <row r="243" spans="1: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94"/>
      <c r="AI243" s="94"/>
      <c r="AJ243" s="94"/>
      <c r="AK243" s="94"/>
      <c r="AL243" s="94"/>
      <c r="AM243" s="94"/>
      <c r="AN243" s="94"/>
      <c r="AO243" s="94"/>
      <c r="AP243" s="94"/>
      <c r="AQ243" s="94"/>
      <c r="AR243" s="94"/>
      <c r="AS243" s="94"/>
    </row>
    <row r="244" spans="1: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94"/>
      <c r="AI244" s="94"/>
      <c r="AJ244" s="94"/>
      <c r="AK244" s="94"/>
      <c r="AL244" s="94"/>
      <c r="AM244" s="94"/>
      <c r="AN244" s="94"/>
      <c r="AO244" s="94"/>
      <c r="AP244" s="94"/>
      <c r="AQ244" s="94"/>
      <c r="AR244" s="94"/>
      <c r="AS244" s="94"/>
    </row>
    <row r="245" spans="1: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94"/>
      <c r="AI245" s="94"/>
      <c r="AJ245" s="94"/>
      <c r="AK245" s="94"/>
      <c r="AL245" s="94"/>
      <c r="AM245" s="94"/>
      <c r="AN245" s="94"/>
      <c r="AO245" s="94"/>
      <c r="AP245" s="94"/>
      <c r="AQ245" s="94"/>
      <c r="AR245" s="94"/>
      <c r="AS245" s="94"/>
    </row>
    <row r="246" spans="1: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94"/>
      <c r="AI246" s="94"/>
      <c r="AJ246" s="94"/>
      <c r="AK246" s="94"/>
      <c r="AL246" s="94"/>
      <c r="AM246" s="94"/>
      <c r="AN246" s="94"/>
      <c r="AO246" s="94"/>
      <c r="AP246" s="94"/>
      <c r="AQ246" s="94"/>
      <c r="AR246" s="94"/>
      <c r="AS246" s="94"/>
    </row>
    <row r="247" spans="1: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94"/>
      <c r="AI247" s="94"/>
      <c r="AJ247" s="94"/>
      <c r="AK247" s="94"/>
      <c r="AL247" s="94"/>
      <c r="AM247" s="94"/>
      <c r="AN247" s="94"/>
      <c r="AO247" s="94"/>
      <c r="AP247" s="94"/>
      <c r="AQ247" s="94"/>
      <c r="AR247" s="94"/>
      <c r="AS247" s="94"/>
    </row>
    <row r="248" spans="1: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94"/>
      <c r="AI248" s="94"/>
      <c r="AJ248" s="94"/>
      <c r="AK248" s="94"/>
      <c r="AL248" s="94"/>
      <c r="AM248" s="94"/>
      <c r="AN248" s="94"/>
      <c r="AO248" s="94"/>
      <c r="AP248" s="94"/>
      <c r="AQ248" s="94"/>
      <c r="AR248" s="94"/>
      <c r="AS248" s="94"/>
    </row>
    <row r="249" spans="1: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94"/>
      <c r="AI249" s="94"/>
      <c r="AJ249" s="94"/>
      <c r="AK249" s="94"/>
      <c r="AL249" s="94"/>
      <c r="AM249" s="94"/>
      <c r="AN249" s="94"/>
      <c r="AO249" s="94"/>
      <c r="AP249" s="94"/>
      <c r="AQ249" s="94"/>
      <c r="AR249" s="94"/>
      <c r="AS249" s="94"/>
    </row>
    <row r="250" spans="1: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94"/>
      <c r="AI250" s="94"/>
      <c r="AJ250" s="94"/>
      <c r="AK250" s="94"/>
      <c r="AL250" s="94"/>
      <c r="AM250" s="94"/>
      <c r="AN250" s="94"/>
      <c r="AO250" s="94"/>
      <c r="AP250" s="94"/>
      <c r="AQ250" s="94"/>
      <c r="AR250" s="94"/>
      <c r="AS250" s="94"/>
    </row>
    <row r="251" spans="1: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94"/>
      <c r="AI251" s="94"/>
      <c r="AJ251" s="94"/>
      <c r="AK251" s="94"/>
      <c r="AL251" s="94"/>
      <c r="AM251" s="94"/>
      <c r="AN251" s="94"/>
      <c r="AO251" s="94"/>
      <c r="AP251" s="94"/>
      <c r="AQ251" s="94"/>
      <c r="AR251" s="94"/>
      <c r="AS251" s="94"/>
    </row>
    <row r="252" spans="1: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94"/>
      <c r="AI252" s="94"/>
      <c r="AJ252" s="94"/>
      <c r="AK252" s="94"/>
      <c r="AL252" s="94"/>
      <c r="AM252" s="94"/>
      <c r="AN252" s="94"/>
      <c r="AO252" s="94"/>
      <c r="AP252" s="94"/>
      <c r="AQ252" s="94"/>
      <c r="AR252" s="94"/>
      <c r="AS252" s="94"/>
    </row>
    <row r="253" spans="1: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94"/>
      <c r="AI253" s="94"/>
      <c r="AJ253" s="94"/>
      <c r="AK253" s="94"/>
      <c r="AL253" s="94"/>
      <c r="AM253" s="94"/>
      <c r="AN253" s="94"/>
      <c r="AO253" s="94"/>
      <c r="AP253" s="94"/>
      <c r="AQ253" s="94"/>
      <c r="AR253" s="94"/>
      <c r="AS253" s="94"/>
    </row>
    <row r="254" spans="1: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94"/>
      <c r="AI254" s="94"/>
      <c r="AJ254" s="94"/>
      <c r="AK254" s="94"/>
      <c r="AL254" s="94"/>
      <c r="AM254" s="94"/>
      <c r="AN254" s="94"/>
      <c r="AO254" s="94"/>
      <c r="AP254" s="94"/>
      <c r="AQ254" s="94"/>
      <c r="AR254" s="94"/>
      <c r="AS254" s="94"/>
    </row>
    <row r="255" spans="1: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94"/>
      <c r="AI255" s="94"/>
      <c r="AJ255" s="94"/>
      <c r="AK255" s="94"/>
      <c r="AL255" s="94"/>
      <c r="AM255" s="94"/>
      <c r="AN255" s="94"/>
      <c r="AO255" s="94"/>
      <c r="AP255" s="94"/>
      <c r="AQ255" s="94"/>
      <c r="AR255" s="94"/>
      <c r="AS255" s="94"/>
    </row>
    <row r="256" spans="1: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94"/>
      <c r="AI256" s="94"/>
      <c r="AJ256" s="94"/>
      <c r="AK256" s="94"/>
      <c r="AL256" s="94"/>
      <c r="AM256" s="94"/>
      <c r="AN256" s="94"/>
      <c r="AO256" s="94"/>
      <c r="AP256" s="94"/>
      <c r="AQ256" s="94"/>
      <c r="AR256" s="94"/>
      <c r="AS256" s="94"/>
    </row>
    <row r="257" spans="1: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94"/>
      <c r="AI257" s="94"/>
      <c r="AJ257" s="94"/>
      <c r="AK257" s="94"/>
      <c r="AL257" s="94"/>
      <c r="AM257" s="94"/>
      <c r="AN257" s="94"/>
      <c r="AO257" s="94"/>
      <c r="AP257" s="94"/>
      <c r="AQ257" s="94"/>
      <c r="AR257" s="94"/>
      <c r="AS257" s="94"/>
    </row>
    <row r="258" spans="1: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94"/>
      <c r="AI258" s="94"/>
      <c r="AJ258" s="94"/>
      <c r="AK258" s="94"/>
      <c r="AL258" s="94"/>
      <c r="AM258" s="94"/>
      <c r="AN258" s="94"/>
      <c r="AO258" s="94"/>
      <c r="AP258" s="94"/>
      <c r="AQ258" s="94"/>
      <c r="AR258" s="94"/>
      <c r="AS258" s="94"/>
    </row>
    <row r="259" spans="1: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94"/>
      <c r="AI259" s="94"/>
      <c r="AJ259" s="94"/>
      <c r="AK259" s="94"/>
      <c r="AL259" s="94"/>
      <c r="AM259" s="94"/>
      <c r="AN259" s="94"/>
      <c r="AO259" s="94"/>
      <c r="AP259" s="94"/>
      <c r="AQ259" s="94"/>
      <c r="AR259" s="94"/>
      <c r="AS259" s="94"/>
    </row>
    <row r="260" spans="1: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94"/>
      <c r="AI260" s="94"/>
      <c r="AJ260" s="94"/>
      <c r="AK260" s="94"/>
      <c r="AL260" s="94"/>
      <c r="AM260" s="94"/>
      <c r="AN260" s="94"/>
      <c r="AO260" s="94"/>
      <c r="AP260" s="94"/>
      <c r="AQ260" s="94"/>
      <c r="AR260" s="94"/>
      <c r="AS260" s="94"/>
    </row>
    <row r="261" spans="1: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94"/>
      <c r="AI261" s="94"/>
      <c r="AJ261" s="94"/>
      <c r="AK261" s="94"/>
      <c r="AL261" s="94"/>
      <c r="AM261" s="94"/>
      <c r="AN261" s="94"/>
      <c r="AO261" s="94"/>
      <c r="AP261" s="94"/>
      <c r="AQ261" s="94"/>
      <c r="AR261" s="94"/>
      <c r="AS261" s="94"/>
    </row>
    <row r="262" spans="1: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94"/>
      <c r="AI262" s="94"/>
      <c r="AJ262" s="94"/>
      <c r="AK262" s="94"/>
      <c r="AL262" s="94"/>
      <c r="AM262" s="94"/>
      <c r="AN262" s="94"/>
      <c r="AO262" s="94"/>
      <c r="AP262" s="94"/>
      <c r="AQ262" s="94"/>
      <c r="AR262" s="94"/>
      <c r="AS262" s="94"/>
    </row>
    <row r="263" spans="1: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94"/>
      <c r="AI263" s="94"/>
      <c r="AJ263" s="94"/>
      <c r="AK263" s="94"/>
      <c r="AL263" s="94"/>
      <c r="AM263" s="94"/>
      <c r="AN263" s="94"/>
      <c r="AO263" s="94"/>
      <c r="AP263" s="94"/>
      <c r="AQ263" s="94"/>
      <c r="AR263" s="94"/>
      <c r="AS263" s="94"/>
    </row>
    <row r="264" spans="1: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94"/>
      <c r="AI264" s="94"/>
      <c r="AJ264" s="94"/>
      <c r="AK264" s="94"/>
      <c r="AL264" s="94"/>
      <c r="AM264" s="94"/>
      <c r="AN264" s="94"/>
      <c r="AO264" s="94"/>
      <c r="AP264" s="94"/>
      <c r="AQ264" s="94"/>
      <c r="AR264" s="94"/>
      <c r="AS264" s="94"/>
    </row>
    <row r="265" spans="1: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94"/>
      <c r="AI265" s="94"/>
      <c r="AJ265" s="94"/>
      <c r="AK265" s="94"/>
      <c r="AL265" s="94"/>
      <c r="AM265" s="94"/>
      <c r="AN265" s="94"/>
      <c r="AO265" s="94"/>
      <c r="AP265" s="94"/>
      <c r="AQ265" s="94"/>
      <c r="AR265" s="94"/>
      <c r="AS265" s="94"/>
    </row>
    <row r="266" spans="1: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94"/>
      <c r="AI266" s="94"/>
      <c r="AJ266" s="94"/>
      <c r="AK266" s="94"/>
      <c r="AL266" s="94"/>
      <c r="AM266" s="94"/>
      <c r="AN266" s="94"/>
      <c r="AO266" s="94"/>
      <c r="AP266" s="94"/>
      <c r="AQ266" s="94"/>
      <c r="AR266" s="94"/>
      <c r="AS266" s="94"/>
    </row>
    <row r="267" spans="1: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94"/>
      <c r="AI267" s="94"/>
      <c r="AJ267" s="94"/>
      <c r="AK267" s="94"/>
      <c r="AL267" s="94"/>
      <c r="AM267" s="94"/>
      <c r="AN267" s="94"/>
      <c r="AO267" s="94"/>
      <c r="AP267" s="94"/>
      <c r="AQ267" s="94"/>
      <c r="AR267" s="94"/>
      <c r="AS267" s="94"/>
    </row>
    <row r="268" spans="1: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94"/>
      <c r="AI268" s="94"/>
      <c r="AJ268" s="94"/>
      <c r="AK268" s="94"/>
      <c r="AL268" s="94"/>
      <c r="AM268" s="94"/>
      <c r="AN268" s="94"/>
      <c r="AO268" s="94"/>
      <c r="AP268" s="94"/>
      <c r="AQ268" s="94"/>
      <c r="AR268" s="94"/>
      <c r="AS268" s="94"/>
    </row>
    <row r="269" spans="1: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94"/>
      <c r="AI269" s="94"/>
      <c r="AJ269" s="94"/>
      <c r="AK269" s="94"/>
      <c r="AL269" s="94"/>
      <c r="AM269" s="94"/>
      <c r="AN269" s="94"/>
      <c r="AO269" s="94"/>
      <c r="AP269" s="94"/>
      <c r="AQ269" s="94"/>
      <c r="AR269" s="94"/>
      <c r="AS269" s="94"/>
    </row>
    <row r="270" spans="1: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94"/>
      <c r="AI270" s="94"/>
      <c r="AJ270" s="94"/>
      <c r="AK270" s="94"/>
      <c r="AL270" s="94"/>
      <c r="AM270" s="94"/>
      <c r="AN270" s="94"/>
      <c r="AO270" s="94"/>
      <c r="AP270" s="94"/>
      <c r="AQ270" s="94"/>
      <c r="AR270" s="94"/>
      <c r="AS270" s="94"/>
    </row>
    <row r="271" spans="1: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94"/>
      <c r="AI271" s="94"/>
      <c r="AJ271" s="94"/>
      <c r="AK271" s="94"/>
      <c r="AL271" s="94"/>
      <c r="AM271" s="94"/>
      <c r="AN271" s="94"/>
      <c r="AO271" s="94"/>
      <c r="AP271" s="94"/>
      <c r="AQ271" s="94"/>
      <c r="AR271" s="94"/>
      <c r="AS271" s="94"/>
    </row>
    <row r="272" spans="1: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94"/>
      <c r="AI272" s="94"/>
      <c r="AJ272" s="94"/>
      <c r="AK272" s="94"/>
      <c r="AL272" s="94"/>
      <c r="AM272" s="94"/>
      <c r="AN272" s="94"/>
      <c r="AO272" s="94"/>
      <c r="AP272" s="94"/>
      <c r="AQ272" s="94"/>
      <c r="AR272" s="94"/>
      <c r="AS272" s="94"/>
    </row>
    <row r="273" spans="1: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94"/>
      <c r="AI273" s="94"/>
      <c r="AJ273" s="94"/>
      <c r="AK273" s="94"/>
      <c r="AL273" s="94"/>
      <c r="AM273" s="94"/>
      <c r="AN273" s="94"/>
      <c r="AO273" s="94"/>
      <c r="AP273" s="94"/>
      <c r="AQ273" s="94"/>
      <c r="AR273" s="94"/>
      <c r="AS273" s="94"/>
    </row>
    <row r="274" spans="1: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94"/>
      <c r="AI274" s="94"/>
      <c r="AJ274" s="94"/>
      <c r="AK274" s="94"/>
      <c r="AL274" s="94"/>
      <c r="AM274" s="94"/>
      <c r="AN274" s="94"/>
      <c r="AO274" s="94"/>
      <c r="AP274" s="94"/>
      <c r="AQ274" s="94"/>
      <c r="AR274" s="94"/>
      <c r="AS274" s="94"/>
    </row>
    <row r="275" spans="1: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94"/>
      <c r="AI275" s="94"/>
      <c r="AJ275" s="94"/>
      <c r="AK275" s="94"/>
      <c r="AL275" s="94"/>
      <c r="AM275" s="94"/>
      <c r="AN275" s="94"/>
      <c r="AO275" s="94"/>
      <c r="AP275" s="94"/>
      <c r="AQ275" s="94"/>
      <c r="AR275" s="94"/>
      <c r="AS275" s="94"/>
    </row>
    <row r="276" spans="1: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94"/>
      <c r="AI276" s="94"/>
      <c r="AJ276" s="94"/>
      <c r="AK276" s="94"/>
      <c r="AL276" s="94"/>
      <c r="AM276" s="94"/>
      <c r="AN276" s="94"/>
      <c r="AO276" s="94"/>
      <c r="AP276" s="94"/>
      <c r="AQ276" s="94"/>
      <c r="AR276" s="94"/>
      <c r="AS276" s="94"/>
    </row>
    <row r="277" spans="1: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94"/>
      <c r="AI277" s="94"/>
      <c r="AJ277" s="94"/>
      <c r="AK277" s="94"/>
      <c r="AL277" s="94"/>
      <c r="AM277" s="94"/>
      <c r="AN277" s="94"/>
      <c r="AO277" s="94"/>
      <c r="AP277" s="94"/>
      <c r="AQ277" s="94"/>
      <c r="AR277" s="94"/>
      <c r="AS277" s="94"/>
    </row>
    <row r="278" spans="1: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94"/>
      <c r="AI278" s="94"/>
      <c r="AJ278" s="94"/>
      <c r="AK278" s="94"/>
      <c r="AL278" s="94"/>
      <c r="AM278" s="94"/>
      <c r="AN278" s="94"/>
      <c r="AO278" s="94"/>
      <c r="AP278" s="94"/>
      <c r="AQ278" s="94"/>
      <c r="AR278" s="94"/>
      <c r="AS278" s="94"/>
    </row>
    <row r="279" spans="1: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94"/>
      <c r="AI279" s="94"/>
      <c r="AJ279" s="94"/>
      <c r="AK279" s="94"/>
      <c r="AL279" s="94"/>
      <c r="AM279" s="94"/>
      <c r="AN279" s="94"/>
      <c r="AO279" s="94"/>
      <c r="AP279" s="94"/>
      <c r="AQ279" s="94"/>
      <c r="AR279" s="94"/>
      <c r="AS279" s="94"/>
    </row>
    <row r="280" spans="1: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94"/>
      <c r="AI280" s="94"/>
      <c r="AJ280" s="94"/>
      <c r="AK280" s="94"/>
      <c r="AL280" s="94"/>
      <c r="AM280" s="94"/>
      <c r="AN280" s="94"/>
      <c r="AO280" s="94"/>
      <c r="AP280" s="94"/>
      <c r="AQ280" s="94"/>
      <c r="AR280" s="94"/>
      <c r="AS280" s="94"/>
    </row>
    <row r="281" spans="1: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94"/>
      <c r="AI281" s="94"/>
      <c r="AJ281" s="94"/>
      <c r="AK281" s="94"/>
      <c r="AL281" s="94"/>
      <c r="AM281" s="94"/>
      <c r="AN281" s="94"/>
      <c r="AO281" s="94"/>
      <c r="AP281" s="94"/>
      <c r="AQ281" s="94"/>
      <c r="AR281" s="94"/>
      <c r="AS281" s="94"/>
    </row>
    <row r="282" spans="1: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94"/>
      <c r="AI282" s="94"/>
      <c r="AJ282" s="94"/>
      <c r="AK282" s="94"/>
      <c r="AL282" s="94"/>
      <c r="AM282" s="94"/>
      <c r="AN282" s="94"/>
      <c r="AO282" s="94"/>
      <c r="AP282" s="94"/>
      <c r="AQ282" s="94"/>
      <c r="AR282" s="94"/>
      <c r="AS282" s="94"/>
    </row>
    <row r="283" spans="1: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94"/>
      <c r="AI283" s="94"/>
      <c r="AJ283" s="94"/>
      <c r="AK283" s="94"/>
      <c r="AL283" s="94"/>
      <c r="AM283" s="94"/>
      <c r="AN283" s="94"/>
      <c r="AO283" s="94"/>
      <c r="AP283" s="94"/>
      <c r="AQ283" s="94"/>
      <c r="AR283" s="94"/>
      <c r="AS283" s="94"/>
    </row>
    <row r="284" spans="1: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94"/>
      <c r="AI284" s="94"/>
      <c r="AJ284" s="94"/>
      <c r="AK284" s="94"/>
      <c r="AL284" s="94"/>
      <c r="AM284" s="94"/>
      <c r="AN284" s="94"/>
      <c r="AO284" s="94"/>
      <c r="AP284" s="94"/>
      <c r="AQ284" s="94"/>
      <c r="AR284" s="94"/>
      <c r="AS284" s="94"/>
    </row>
    <row r="285" spans="1: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94"/>
      <c r="AI285" s="94"/>
      <c r="AJ285" s="94"/>
      <c r="AK285" s="94"/>
      <c r="AL285" s="94"/>
      <c r="AM285" s="94"/>
      <c r="AN285" s="94"/>
      <c r="AO285" s="94"/>
      <c r="AP285" s="94"/>
      <c r="AQ285" s="94"/>
      <c r="AR285" s="94"/>
      <c r="AS285" s="94"/>
    </row>
    <row r="286" spans="1: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94"/>
      <c r="AI286" s="94"/>
      <c r="AJ286" s="94"/>
      <c r="AK286" s="94"/>
      <c r="AL286" s="94"/>
      <c r="AM286" s="94"/>
      <c r="AN286" s="94"/>
      <c r="AO286" s="94"/>
      <c r="AP286" s="94"/>
      <c r="AQ286" s="94"/>
      <c r="AR286" s="94"/>
      <c r="AS286" s="94"/>
    </row>
    <row r="287" spans="1: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94"/>
      <c r="AI287" s="94"/>
      <c r="AJ287" s="94"/>
      <c r="AK287" s="94"/>
      <c r="AL287" s="94"/>
      <c r="AM287" s="94"/>
      <c r="AN287" s="94"/>
      <c r="AO287" s="94"/>
      <c r="AP287" s="94"/>
      <c r="AQ287" s="94"/>
      <c r="AR287" s="94"/>
      <c r="AS287" s="94"/>
    </row>
    <row r="288" spans="1: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94"/>
      <c r="AI288" s="94"/>
      <c r="AJ288" s="94"/>
      <c r="AK288" s="94"/>
      <c r="AL288" s="94"/>
      <c r="AM288" s="94"/>
      <c r="AN288" s="94"/>
      <c r="AO288" s="94"/>
      <c r="AP288" s="94"/>
      <c r="AQ288" s="94"/>
      <c r="AR288" s="94"/>
      <c r="AS288" s="94"/>
    </row>
    <row r="289" spans="1: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94"/>
      <c r="AI289" s="94"/>
      <c r="AJ289" s="94"/>
      <c r="AK289" s="94"/>
      <c r="AL289" s="94"/>
      <c r="AM289" s="94"/>
      <c r="AN289" s="94"/>
      <c r="AO289" s="94"/>
      <c r="AP289" s="94"/>
      <c r="AQ289" s="94"/>
      <c r="AR289" s="94"/>
      <c r="AS289" s="94"/>
    </row>
    <row r="290" spans="1: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94"/>
      <c r="AI290" s="94"/>
      <c r="AJ290" s="94"/>
      <c r="AK290" s="94"/>
      <c r="AL290" s="94"/>
      <c r="AM290" s="94"/>
      <c r="AN290" s="94"/>
      <c r="AO290" s="94"/>
      <c r="AP290" s="94"/>
      <c r="AQ290" s="94"/>
      <c r="AR290" s="94"/>
      <c r="AS290" s="94"/>
    </row>
    <row r="291" spans="1: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94"/>
      <c r="AI291" s="94"/>
      <c r="AJ291" s="94"/>
      <c r="AK291" s="94"/>
      <c r="AL291" s="94"/>
      <c r="AM291" s="94"/>
      <c r="AN291" s="94"/>
      <c r="AO291" s="94"/>
      <c r="AP291" s="94"/>
      <c r="AQ291" s="94"/>
      <c r="AR291" s="94"/>
      <c r="AS291" s="94"/>
    </row>
    <row r="292" spans="1: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94"/>
      <c r="AI292" s="94"/>
      <c r="AJ292" s="94"/>
      <c r="AK292" s="94"/>
      <c r="AL292" s="94"/>
      <c r="AM292" s="94"/>
      <c r="AN292" s="94"/>
      <c r="AO292" s="94"/>
      <c r="AP292" s="94"/>
      <c r="AQ292" s="94"/>
      <c r="AR292" s="94"/>
      <c r="AS292" s="94"/>
    </row>
    <row r="293" spans="1: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94"/>
      <c r="AI293" s="94"/>
      <c r="AJ293" s="94"/>
      <c r="AK293" s="94"/>
      <c r="AL293" s="94"/>
      <c r="AM293" s="94"/>
      <c r="AN293" s="94"/>
      <c r="AO293" s="94"/>
      <c r="AP293" s="94"/>
      <c r="AQ293" s="94"/>
      <c r="AR293" s="94"/>
      <c r="AS293" s="94"/>
    </row>
    <row r="294" spans="1: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94"/>
      <c r="AI294" s="94"/>
      <c r="AJ294" s="94"/>
      <c r="AK294" s="94"/>
      <c r="AL294" s="94"/>
      <c r="AM294" s="94"/>
      <c r="AN294" s="94"/>
      <c r="AO294" s="94"/>
      <c r="AP294" s="94"/>
      <c r="AQ294" s="94"/>
      <c r="AR294" s="94"/>
      <c r="AS294" s="94"/>
    </row>
    <row r="295" spans="1: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94"/>
      <c r="AI295" s="94"/>
      <c r="AJ295" s="94"/>
      <c r="AK295" s="94"/>
      <c r="AL295" s="94"/>
      <c r="AM295" s="94"/>
      <c r="AN295" s="94"/>
      <c r="AO295" s="94"/>
      <c r="AP295" s="94"/>
      <c r="AQ295" s="94"/>
      <c r="AR295" s="94"/>
      <c r="AS295" s="94"/>
    </row>
    <row r="296" spans="1: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94"/>
      <c r="AI296" s="94"/>
      <c r="AJ296" s="94"/>
      <c r="AK296" s="94"/>
      <c r="AL296" s="94"/>
      <c r="AM296" s="94"/>
      <c r="AN296" s="94"/>
      <c r="AO296" s="94"/>
      <c r="AP296" s="94"/>
      <c r="AQ296" s="94"/>
      <c r="AR296" s="94"/>
      <c r="AS296" s="94"/>
    </row>
    <row r="297" spans="1: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94"/>
      <c r="AI297" s="94"/>
      <c r="AJ297" s="94"/>
      <c r="AK297" s="94"/>
      <c r="AL297" s="94"/>
      <c r="AM297" s="94"/>
      <c r="AN297" s="94"/>
      <c r="AO297" s="94"/>
      <c r="AP297" s="94"/>
      <c r="AQ297" s="94"/>
      <c r="AR297" s="94"/>
      <c r="AS297" s="94"/>
    </row>
    <row r="298" spans="1: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94"/>
      <c r="AI298" s="94"/>
      <c r="AJ298" s="94"/>
      <c r="AK298" s="94"/>
      <c r="AL298" s="94"/>
      <c r="AM298" s="94"/>
      <c r="AN298" s="94"/>
      <c r="AO298" s="94"/>
      <c r="AP298" s="94"/>
      <c r="AQ298" s="94"/>
      <c r="AR298" s="94"/>
      <c r="AS298" s="94"/>
    </row>
    <row r="299" spans="1: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94"/>
      <c r="AI299" s="94"/>
      <c r="AJ299" s="94"/>
      <c r="AK299" s="94"/>
      <c r="AL299" s="94"/>
      <c r="AM299" s="94"/>
      <c r="AN299" s="94"/>
      <c r="AO299" s="94"/>
      <c r="AP299" s="94"/>
      <c r="AQ299" s="94"/>
      <c r="AR299" s="94"/>
      <c r="AS299" s="94"/>
    </row>
    <row r="300" spans="1: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94"/>
      <c r="AI300" s="94"/>
      <c r="AJ300" s="94"/>
      <c r="AK300" s="94"/>
      <c r="AL300" s="94"/>
      <c r="AM300" s="94"/>
      <c r="AN300" s="94"/>
      <c r="AO300" s="94"/>
      <c r="AP300" s="94"/>
      <c r="AQ300" s="94"/>
      <c r="AR300" s="94"/>
      <c r="AS300" s="94"/>
    </row>
    <row r="301" spans="1: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94"/>
      <c r="AI301" s="94"/>
      <c r="AJ301" s="94"/>
      <c r="AK301" s="94"/>
      <c r="AL301" s="94"/>
      <c r="AM301" s="94"/>
      <c r="AN301" s="94"/>
      <c r="AO301" s="94"/>
      <c r="AP301" s="94"/>
      <c r="AQ301" s="94"/>
      <c r="AR301" s="94"/>
      <c r="AS301" s="94"/>
    </row>
    <row r="302" spans="1: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94"/>
      <c r="AI302" s="94"/>
      <c r="AJ302" s="94"/>
      <c r="AK302" s="94"/>
      <c r="AL302" s="94"/>
      <c r="AM302" s="94"/>
      <c r="AN302" s="94"/>
      <c r="AO302" s="94"/>
      <c r="AP302" s="94"/>
      <c r="AQ302" s="94"/>
      <c r="AR302" s="94"/>
      <c r="AS302" s="94"/>
    </row>
    <row r="303" spans="1: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94"/>
      <c r="AI303" s="94"/>
      <c r="AJ303" s="94"/>
      <c r="AK303" s="94"/>
      <c r="AL303" s="94"/>
      <c r="AM303" s="94"/>
      <c r="AN303" s="94"/>
      <c r="AO303" s="94"/>
      <c r="AP303" s="94"/>
      <c r="AQ303" s="94"/>
      <c r="AR303" s="94"/>
      <c r="AS303" s="94"/>
    </row>
    <row r="304" spans="1: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94"/>
      <c r="AI304" s="94"/>
      <c r="AJ304" s="94"/>
      <c r="AK304" s="94"/>
      <c r="AL304" s="94"/>
      <c r="AM304" s="94"/>
      <c r="AN304" s="94"/>
      <c r="AO304" s="94"/>
      <c r="AP304" s="94"/>
      <c r="AQ304" s="94"/>
      <c r="AR304" s="94"/>
      <c r="AS304" s="94"/>
    </row>
    <row r="305" spans="1: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94"/>
      <c r="AI305" s="94"/>
      <c r="AJ305" s="94"/>
      <c r="AK305" s="94"/>
      <c r="AL305" s="94"/>
      <c r="AM305" s="94"/>
      <c r="AN305" s="94"/>
      <c r="AO305" s="94"/>
      <c r="AP305" s="94"/>
      <c r="AQ305" s="94"/>
      <c r="AR305" s="94"/>
      <c r="AS305" s="94"/>
    </row>
    <row r="306" spans="1: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94"/>
      <c r="AI306" s="94"/>
      <c r="AJ306" s="94"/>
      <c r="AK306" s="94"/>
      <c r="AL306" s="94"/>
      <c r="AM306" s="94"/>
      <c r="AN306" s="94"/>
      <c r="AO306" s="94"/>
      <c r="AP306" s="94"/>
      <c r="AQ306" s="94"/>
      <c r="AR306" s="94"/>
      <c r="AS306" s="94"/>
    </row>
    <row r="307" spans="1: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94"/>
      <c r="AI307" s="94"/>
      <c r="AJ307" s="94"/>
      <c r="AK307" s="94"/>
      <c r="AL307" s="94"/>
      <c r="AM307" s="94"/>
      <c r="AN307" s="94"/>
      <c r="AO307" s="94"/>
      <c r="AP307" s="94"/>
      <c r="AQ307" s="94"/>
      <c r="AR307" s="94"/>
      <c r="AS307" s="94"/>
    </row>
    <row r="308" spans="1: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94"/>
      <c r="AI308" s="94"/>
      <c r="AJ308" s="94"/>
      <c r="AK308" s="94"/>
      <c r="AL308" s="94"/>
      <c r="AM308" s="94"/>
      <c r="AN308" s="94"/>
      <c r="AO308" s="94"/>
      <c r="AP308" s="94"/>
      <c r="AQ308" s="94"/>
      <c r="AR308" s="94"/>
      <c r="AS308" s="94"/>
    </row>
    <row r="309" spans="1: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94"/>
      <c r="AI309" s="94"/>
      <c r="AJ309" s="94"/>
      <c r="AK309" s="94"/>
      <c r="AL309" s="94"/>
      <c r="AM309" s="94"/>
      <c r="AN309" s="94"/>
      <c r="AO309" s="94"/>
      <c r="AP309" s="94"/>
      <c r="AQ309" s="94"/>
      <c r="AR309" s="94"/>
      <c r="AS309" s="94"/>
    </row>
    <row r="310" spans="1: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94"/>
      <c r="AI310" s="94"/>
      <c r="AJ310" s="94"/>
      <c r="AK310" s="94"/>
      <c r="AL310" s="94"/>
      <c r="AM310" s="94"/>
      <c r="AN310" s="94"/>
      <c r="AO310" s="94"/>
      <c r="AP310" s="94"/>
      <c r="AQ310" s="94"/>
      <c r="AR310" s="94"/>
      <c r="AS310" s="94"/>
    </row>
    <row r="311" spans="1: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94"/>
      <c r="AI311" s="94"/>
      <c r="AJ311" s="94"/>
      <c r="AK311" s="94"/>
      <c r="AL311" s="94"/>
      <c r="AM311" s="94"/>
      <c r="AN311" s="94"/>
      <c r="AO311" s="94"/>
      <c r="AP311" s="94"/>
      <c r="AQ311" s="94"/>
      <c r="AR311" s="94"/>
      <c r="AS311" s="94"/>
    </row>
    <row r="312" spans="1: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94"/>
      <c r="AI312" s="94"/>
      <c r="AJ312" s="94"/>
      <c r="AK312" s="94"/>
      <c r="AL312" s="94"/>
      <c r="AM312" s="94"/>
      <c r="AN312" s="94"/>
      <c r="AO312" s="94"/>
      <c r="AP312" s="94"/>
      <c r="AQ312" s="94"/>
      <c r="AR312" s="94"/>
      <c r="AS312" s="94"/>
    </row>
    <row r="313" spans="1: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94"/>
      <c r="AI313" s="94"/>
      <c r="AJ313" s="94"/>
      <c r="AK313" s="94"/>
      <c r="AL313" s="94"/>
      <c r="AM313" s="94"/>
      <c r="AN313" s="94"/>
      <c r="AO313" s="94"/>
      <c r="AP313" s="94"/>
      <c r="AQ313" s="94"/>
      <c r="AR313" s="94"/>
      <c r="AS313" s="94"/>
    </row>
    <row r="314" spans="1: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94"/>
      <c r="AI314" s="94"/>
      <c r="AJ314" s="94"/>
      <c r="AK314" s="94"/>
      <c r="AL314" s="94"/>
      <c r="AM314" s="94"/>
      <c r="AN314" s="94"/>
      <c r="AO314" s="94"/>
      <c r="AP314" s="94"/>
      <c r="AQ314" s="94"/>
      <c r="AR314" s="94"/>
      <c r="AS314" s="94"/>
    </row>
    <row r="315" spans="1: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94"/>
      <c r="AI315" s="94"/>
      <c r="AJ315" s="94"/>
      <c r="AK315" s="94"/>
      <c r="AL315" s="94"/>
      <c r="AM315" s="94"/>
      <c r="AN315" s="94"/>
      <c r="AO315" s="94"/>
      <c r="AP315" s="94"/>
      <c r="AQ315" s="94"/>
      <c r="AR315" s="94"/>
      <c r="AS315" s="94"/>
    </row>
    <row r="316" spans="1: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94"/>
      <c r="AI316" s="94"/>
      <c r="AJ316" s="94"/>
      <c r="AK316" s="94"/>
      <c r="AL316" s="94"/>
      <c r="AM316" s="94"/>
      <c r="AN316" s="94"/>
      <c r="AO316" s="94"/>
      <c r="AP316" s="94"/>
      <c r="AQ316" s="94"/>
      <c r="AR316" s="94"/>
      <c r="AS316" s="94"/>
    </row>
    <row r="317" spans="1: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94"/>
      <c r="AI317" s="94"/>
      <c r="AJ317" s="94"/>
      <c r="AK317" s="94"/>
      <c r="AL317" s="94"/>
      <c r="AM317" s="94"/>
      <c r="AN317" s="94"/>
      <c r="AO317" s="94"/>
      <c r="AP317" s="94"/>
      <c r="AQ317" s="94"/>
      <c r="AR317" s="94"/>
      <c r="AS317" s="94"/>
    </row>
    <row r="318" spans="1: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94"/>
      <c r="AI318" s="94"/>
      <c r="AJ318" s="94"/>
      <c r="AK318" s="94"/>
      <c r="AL318" s="94"/>
      <c r="AM318" s="94"/>
      <c r="AN318" s="94"/>
      <c r="AO318" s="94"/>
      <c r="AP318" s="94"/>
      <c r="AQ318" s="94"/>
      <c r="AR318" s="94"/>
      <c r="AS318" s="94"/>
    </row>
    <row r="319" spans="1: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94"/>
      <c r="AI319" s="94"/>
      <c r="AJ319" s="94"/>
      <c r="AK319" s="94"/>
      <c r="AL319" s="94"/>
      <c r="AM319" s="94"/>
      <c r="AN319" s="94"/>
      <c r="AO319" s="94"/>
      <c r="AP319" s="94"/>
      <c r="AQ319" s="94"/>
      <c r="AR319" s="94"/>
      <c r="AS319" s="94"/>
    </row>
    <row r="320" spans="1: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94"/>
      <c r="AI320" s="94"/>
      <c r="AJ320" s="94"/>
      <c r="AK320" s="94"/>
      <c r="AL320" s="94"/>
      <c r="AM320" s="94"/>
      <c r="AN320" s="94"/>
      <c r="AO320" s="94"/>
      <c r="AP320" s="94"/>
      <c r="AQ320" s="94"/>
      <c r="AR320" s="94"/>
      <c r="AS320" s="94"/>
    </row>
    <row r="321" spans="1: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94"/>
      <c r="AI321" s="94"/>
      <c r="AJ321" s="94"/>
      <c r="AK321" s="94"/>
      <c r="AL321" s="94"/>
      <c r="AM321" s="94"/>
      <c r="AN321" s="94"/>
      <c r="AO321" s="94"/>
      <c r="AP321" s="94"/>
      <c r="AQ321" s="94"/>
      <c r="AR321" s="94"/>
      <c r="AS321" s="94"/>
    </row>
    <row r="322" spans="1: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94"/>
      <c r="AI322" s="94"/>
      <c r="AJ322" s="94"/>
      <c r="AK322" s="94"/>
      <c r="AL322" s="94"/>
      <c r="AM322" s="94"/>
      <c r="AN322" s="94"/>
      <c r="AO322" s="94"/>
      <c r="AP322" s="94"/>
      <c r="AQ322" s="94"/>
      <c r="AR322" s="94"/>
      <c r="AS322" s="94"/>
    </row>
    <row r="323" spans="1: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94"/>
      <c r="AI323" s="94"/>
      <c r="AJ323" s="94"/>
      <c r="AK323" s="94"/>
      <c r="AL323" s="94"/>
      <c r="AM323" s="94"/>
      <c r="AN323" s="94"/>
      <c r="AO323" s="94"/>
      <c r="AP323" s="94"/>
      <c r="AQ323" s="94"/>
      <c r="AR323" s="94"/>
      <c r="AS323" s="94"/>
    </row>
    <row r="324" spans="1: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94"/>
      <c r="AI324" s="94"/>
      <c r="AJ324" s="94"/>
      <c r="AK324" s="94"/>
      <c r="AL324" s="94"/>
      <c r="AM324" s="94"/>
      <c r="AN324" s="94"/>
      <c r="AO324" s="94"/>
      <c r="AP324" s="94"/>
      <c r="AQ324" s="94"/>
      <c r="AR324" s="94"/>
      <c r="AS324" s="94"/>
    </row>
    <row r="325" spans="1: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94"/>
      <c r="AI325" s="94"/>
      <c r="AJ325" s="94"/>
      <c r="AK325" s="94"/>
      <c r="AL325" s="94"/>
      <c r="AM325" s="94"/>
      <c r="AN325" s="94"/>
      <c r="AO325" s="94"/>
      <c r="AP325" s="94"/>
      <c r="AQ325" s="94"/>
      <c r="AR325" s="94"/>
      <c r="AS325" s="94"/>
    </row>
    <row r="326" spans="1: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94"/>
      <c r="AI326" s="94"/>
      <c r="AJ326" s="94"/>
      <c r="AK326" s="94"/>
      <c r="AL326" s="94"/>
      <c r="AM326" s="94"/>
      <c r="AN326" s="94"/>
      <c r="AO326" s="94"/>
      <c r="AP326" s="94"/>
      <c r="AQ326" s="94"/>
      <c r="AR326" s="94"/>
      <c r="AS326" s="94"/>
    </row>
    <row r="327" spans="1: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94"/>
      <c r="AI327" s="94"/>
      <c r="AJ327" s="94"/>
      <c r="AK327" s="94"/>
      <c r="AL327" s="94"/>
      <c r="AM327" s="94"/>
      <c r="AN327" s="94"/>
      <c r="AO327" s="94"/>
      <c r="AP327" s="94"/>
      <c r="AQ327" s="94"/>
      <c r="AR327" s="94"/>
      <c r="AS327" s="94"/>
    </row>
    <row r="328" spans="1: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94"/>
      <c r="AI328" s="94"/>
      <c r="AJ328" s="94"/>
      <c r="AK328" s="94"/>
      <c r="AL328" s="94"/>
      <c r="AM328" s="94"/>
      <c r="AN328" s="94"/>
      <c r="AO328" s="94"/>
      <c r="AP328" s="94"/>
      <c r="AQ328" s="94"/>
      <c r="AR328" s="94"/>
      <c r="AS328" s="94"/>
    </row>
    <row r="329" spans="1: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94"/>
      <c r="AI329" s="94"/>
      <c r="AJ329" s="94"/>
      <c r="AK329" s="94"/>
      <c r="AL329" s="94"/>
      <c r="AM329" s="94"/>
      <c r="AN329" s="94"/>
      <c r="AO329" s="94"/>
      <c r="AP329" s="94"/>
      <c r="AQ329" s="94"/>
      <c r="AR329" s="94"/>
      <c r="AS329" s="94"/>
    </row>
    <row r="330" spans="1: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94"/>
      <c r="AI330" s="94"/>
      <c r="AJ330" s="94"/>
      <c r="AK330" s="94"/>
      <c r="AL330" s="94"/>
      <c r="AM330" s="94"/>
      <c r="AN330" s="94"/>
      <c r="AO330" s="94"/>
      <c r="AP330" s="94"/>
      <c r="AQ330" s="94"/>
      <c r="AR330" s="94"/>
      <c r="AS330" s="94"/>
    </row>
    <row r="331" spans="1: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94"/>
      <c r="AI331" s="94"/>
      <c r="AJ331" s="94"/>
      <c r="AK331" s="94"/>
      <c r="AL331" s="94"/>
      <c r="AM331" s="94"/>
      <c r="AN331" s="94"/>
      <c r="AO331" s="94"/>
      <c r="AP331" s="94"/>
      <c r="AQ331" s="94"/>
      <c r="AR331" s="94"/>
      <c r="AS331" s="94"/>
    </row>
    <row r="332" spans="1: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94"/>
      <c r="AI332" s="94"/>
      <c r="AJ332" s="94"/>
      <c r="AK332" s="94"/>
      <c r="AL332" s="94"/>
      <c r="AM332" s="94"/>
      <c r="AN332" s="94"/>
      <c r="AO332" s="94"/>
      <c r="AP332" s="94"/>
      <c r="AQ332" s="94"/>
      <c r="AR332" s="94"/>
      <c r="AS332" s="94"/>
    </row>
    <row r="333" spans="1: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94"/>
      <c r="AI333" s="94"/>
      <c r="AJ333" s="94"/>
      <c r="AK333" s="94"/>
      <c r="AL333" s="94"/>
      <c r="AM333" s="94"/>
      <c r="AN333" s="94"/>
      <c r="AO333" s="94"/>
      <c r="AP333" s="94"/>
      <c r="AQ333" s="94"/>
      <c r="AR333" s="94"/>
      <c r="AS333" s="94"/>
    </row>
    <row r="334" spans="1: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94"/>
      <c r="AI334" s="94"/>
      <c r="AJ334" s="94"/>
      <c r="AK334" s="94"/>
      <c r="AL334" s="94"/>
      <c r="AM334" s="94"/>
      <c r="AN334" s="94"/>
      <c r="AO334" s="94"/>
      <c r="AP334" s="94"/>
      <c r="AQ334" s="94"/>
      <c r="AR334" s="94"/>
      <c r="AS334" s="94"/>
    </row>
    <row r="335" spans="1: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94"/>
      <c r="AI335" s="94"/>
      <c r="AJ335" s="94"/>
      <c r="AK335" s="94"/>
      <c r="AL335" s="94"/>
      <c r="AM335" s="94"/>
      <c r="AN335" s="94"/>
      <c r="AO335" s="94"/>
      <c r="AP335" s="94"/>
      <c r="AQ335" s="94"/>
      <c r="AR335" s="94"/>
      <c r="AS335" s="94"/>
    </row>
    <row r="336" spans="1: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94"/>
      <c r="AI336" s="94"/>
      <c r="AJ336" s="94"/>
      <c r="AK336" s="94"/>
      <c r="AL336" s="94"/>
      <c r="AM336" s="94"/>
      <c r="AN336" s="94"/>
      <c r="AO336" s="94"/>
      <c r="AP336" s="94"/>
      <c r="AQ336" s="94"/>
      <c r="AR336" s="94"/>
      <c r="AS336" s="94"/>
    </row>
    <row r="337" spans="1: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94"/>
      <c r="AI337" s="94"/>
      <c r="AJ337" s="94"/>
      <c r="AK337" s="94"/>
      <c r="AL337" s="94"/>
      <c r="AM337" s="94"/>
      <c r="AN337" s="94"/>
      <c r="AO337" s="94"/>
      <c r="AP337" s="94"/>
      <c r="AQ337" s="94"/>
      <c r="AR337" s="94"/>
      <c r="AS337" s="94"/>
    </row>
    <row r="338" spans="1: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94"/>
      <c r="AI338" s="94"/>
      <c r="AJ338" s="94"/>
      <c r="AK338" s="94"/>
      <c r="AL338" s="94"/>
      <c r="AM338" s="94"/>
      <c r="AN338" s="94"/>
      <c r="AO338" s="94"/>
      <c r="AP338" s="94"/>
      <c r="AQ338" s="94"/>
      <c r="AR338" s="94"/>
      <c r="AS338" s="94"/>
    </row>
    <row r="339" spans="1: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94"/>
      <c r="AI339" s="94"/>
      <c r="AJ339" s="94"/>
      <c r="AK339" s="94"/>
      <c r="AL339" s="94"/>
      <c r="AM339" s="94"/>
      <c r="AN339" s="94"/>
      <c r="AO339" s="94"/>
      <c r="AP339" s="94"/>
      <c r="AQ339" s="94"/>
      <c r="AR339" s="94"/>
      <c r="AS339" s="94"/>
    </row>
    <row r="340" spans="1: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94"/>
      <c r="AI340" s="94"/>
      <c r="AJ340" s="94"/>
      <c r="AK340" s="94"/>
      <c r="AL340" s="94"/>
      <c r="AM340" s="94"/>
      <c r="AN340" s="94"/>
      <c r="AO340" s="94"/>
      <c r="AP340" s="94"/>
      <c r="AQ340" s="94"/>
      <c r="AR340" s="94"/>
      <c r="AS340" s="94"/>
    </row>
    <row r="341" spans="1: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94"/>
      <c r="AI341" s="94"/>
      <c r="AJ341" s="94"/>
      <c r="AK341" s="94"/>
      <c r="AL341" s="94"/>
      <c r="AM341" s="94"/>
      <c r="AN341" s="94"/>
      <c r="AO341" s="94"/>
      <c r="AP341" s="94"/>
      <c r="AQ341" s="94"/>
      <c r="AR341" s="94"/>
      <c r="AS341" s="94"/>
    </row>
    <row r="342" spans="1: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94"/>
      <c r="AI342" s="94"/>
      <c r="AJ342" s="94"/>
      <c r="AK342" s="94"/>
      <c r="AL342" s="94"/>
      <c r="AM342" s="94"/>
      <c r="AN342" s="94"/>
      <c r="AO342" s="94"/>
      <c r="AP342" s="94"/>
      <c r="AQ342" s="94"/>
      <c r="AR342" s="94"/>
      <c r="AS342" s="94"/>
    </row>
    <row r="343" spans="1: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94"/>
      <c r="AI343" s="94"/>
      <c r="AJ343" s="94"/>
      <c r="AK343" s="94"/>
      <c r="AL343" s="94"/>
      <c r="AM343" s="94"/>
      <c r="AN343" s="94"/>
      <c r="AO343" s="94"/>
      <c r="AP343" s="94"/>
      <c r="AQ343" s="94"/>
      <c r="AR343" s="94"/>
      <c r="AS343" s="94"/>
    </row>
    <row r="344" spans="1: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94"/>
      <c r="AI344" s="94"/>
      <c r="AJ344" s="94"/>
      <c r="AK344" s="94"/>
      <c r="AL344" s="94"/>
      <c r="AM344" s="94"/>
      <c r="AN344" s="94"/>
      <c r="AO344" s="94"/>
      <c r="AP344" s="94"/>
      <c r="AQ344" s="94"/>
      <c r="AR344" s="94"/>
      <c r="AS344" s="94"/>
    </row>
    <row r="345" spans="1: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94"/>
      <c r="AI345" s="94"/>
      <c r="AJ345" s="94"/>
      <c r="AK345" s="94"/>
      <c r="AL345" s="94"/>
      <c r="AM345" s="94"/>
      <c r="AN345" s="94"/>
      <c r="AO345" s="94"/>
      <c r="AP345" s="94"/>
      <c r="AQ345" s="94"/>
      <c r="AR345" s="94"/>
      <c r="AS345" s="94"/>
    </row>
    <row r="346" spans="1: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94"/>
      <c r="AI346" s="94"/>
      <c r="AJ346" s="94"/>
      <c r="AK346" s="94"/>
      <c r="AL346" s="94"/>
      <c r="AM346" s="94"/>
      <c r="AN346" s="94"/>
      <c r="AO346" s="94"/>
      <c r="AP346" s="94"/>
      <c r="AQ346" s="94"/>
      <c r="AR346" s="94"/>
      <c r="AS346" s="94"/>
    </row>
    <row r="347" spans="1: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94"/>
      <c r="AI347" s="94"/>
      <c r="AJ347" s="94"/>
      <c r="AK347" s="94"/>
      <c r="AL347" s="94"/>
      <c r="AM347" s="94"/>
      <c r="AN347" s="94"/>
      <c r="AO347" s="94"/>
      <c r="AP347" s="94"/>
      <c r="AQ347" s="94"/>
      <c r="AR347" s="94"/>
      <c r="AS347" s="94"/>
    </row>
    <row r="348" spans="1: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94"/>
      <c r="AI348" s="94"/>
      <c r="AJ348" s="94"/>
      <c r="AK348" s="94"/>
      <c r="AL348" s="94"/>
      <c r="AM348" s="94"/>
      <c r="AN348" s="94"/>
      <c r="AO348" s="94"/>
      <c r="AP348" s="94"/>
      <c r="AQ348" s="94"/>
      <c r="AR348" s="94"/>
      <c r="AS348" s="94"/>
    </row>
    <row r="349" spans="1: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94"/>
      <c r="AI349" s="94"/>
      <c r="AJ349" s="94"/>
      <c r="AK349" s="94"/>
      <c r="AL349" s="94"/>
      <c r="AM349" s="94"/>
      <c r="AN349" s="94"/>
      <c r="AO349" s="94"/>
      <c r="AP349" s="94"/>
      <c r="AQ349" s="94"/>
      <c r="AR349" s="94"/>
      <c r="AS349" s="94"/>
    </row>
    <row r="350" spans="1: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94"/>
      <c r="AI350" s="94"/>
      <c r="AJ350" s="94"/>
      <c r="AK350" s="94"/>
      <c r="AL350" s="94"/>
      <c r="AM350" s="94"/>
      <c r="AN350" s="94"/>
      <c r="AO350" s="94"/>
      <c r="AP350" s="94"/>
      <c r="AQ350" s="94"/>
      <c r="AR350" s="94"/>
      <c r="AS350" s="94"/>
    </row>
    <row r="351" spans="1: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94"/>
      <c r="AI351" s="94"/>
      <c r="AJ351" s="94"/>
      <c r="AK351" s="94"/>
      <c r="AL351" s="94"/>
      <c r="AM351" s="94"/>
      <c r="AN351" s="94"/>
      <c r="AO351" s="94"/>
      <c r="AP351" s="94"/>
      <c r="AQ351" s="94"/>
      <c r="AR351" s="94"/>
      <c r="AS351" s="94"/>
    </row>
    <row r="352" spans="1: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94"/>
      <c r="AI352" s="94"/>
      <c r="AJ352" s="94"/>
      <c r="AK352" s="94"/>
      <c r="AL352" s="94"/>
      <c r="AM352" s="94"/>
      <c r="AN352" s="94"/>
      <c r="AO352" s="94"/>
      <c r="AP352" s="94"/>
      <c r="AQ352" s="94"/>
      <c r="AR352" s="94"/>
      <c r="AS352" s="94"/>
    </row>
    <row r="353" spans="1: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94"/>
      <c r="AI353" s="94"/>
      <c r="AJ353" s="94"/>
      <c r="AK353" s="94"/>
      <c r="AL353" s="94"/>
      <c r="AM353" s="94"/>
      <c r="AN353" s="94"/>
      <c r="AO353" s="94"/>
      <c r="AP353" s="94"/>
      <c r="AQ353" s="94"/>
      <c r="AR353" s="94"/>
      <c r="AS353" s="94"/>
    </row>
    <row r="354" spans="1: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94"/>
      <c r="AI354" s="94"/>
      <c r="AJ354" s="94"/>
      <c r="AK354" s="94"/>
      <c r="AL354" s="94"/>
      <c r="AM354" s="94"/>
      <c r="AN354" s="94"/>
      <c r="AO354" s="94"/>
      <c r="AP354" s="94"/>
      <c r="AQ354" s="94"/>
      <c r="AR354" s="94"/>
      <c r="AS354" s="94"/>
    </row>
    <row r="355" spans="1: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94"/>
      <c r="AI355" s="94"/>
      <c r="AJ355" s="94"/>
      <c r="AK355" s="94"/>
      <c r="AL355" s="94"/>
      <c r="AM355" s="94"/>
      <c r="AN355" s="94"/>
      <c r="AO355" s="94"/>
      <c r="AP355" s="94"/>
      <c r="AQ355" s="94"/>
      <c r="AR355" s="94"/>
      <c r="AS355" s="94"/>
    </row>
    <row r="356" spans="1: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94"/>
      <c r="AI356" s="94"/>
      <c r="AJ356" s="94"/>
      <c r="AK356" s="94"/>
      <c r="AL356" s="94"/>
      <c r="AM356" s="94"/>
      <c r="AN356" s="94"/>
      <c r="AO356" s="94"/>
      <c r="AP356" s="94"/>
      <c r="AQ356" s="94"/>
      <c r="AR356" s="94"/>
      <c r="AS356" s="94"/>
    </row>
    <row r="357" spans="1: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94"/>
      <c r="AI357" s="94"/>
      <c r="AJ357" s="94"/>
      <c r="AK357" s="94"/>
      <c r="AL357" s="94"/>
      <c r="AM357" s="94"/>
      <c r="AN357" s="94"/>
      <c r="AO357" s="94"/>
      <c r="AP357" s="94"/>
      <c r="AQ357" s="94"/>
      <c r="AR357" s="94"/>
      <c r="AS357" s="94"/>
    </row>
    <row r="358" spans="1: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94"/>
      <c r="AI358" s="94"/>
      <c r="AJ358" s="94"/>
      <c r="AK358" s="94"/>
      <c r="AL358" s="94"/>
      <c r="AM358" s="94"/>
      <c r="AN358" s="94"/>
      <c r="AO358" s="94"/>
      <c r="AP358" s="94"/>
      <c r="AQ358" s="94"/>
      <c r="AR358" s="94"/>
      <c r="AS358" s="94"/>
    </row>
    <row r="359" spans="1: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94"/>
      <c r="AI359" s="94"/>
      <c r="AJ359" s="94"/>
      <c r="AK359" s="94"/>
      <c r="AL359" s="94"/>
      <c r="AM359" s="94"/>
      <c r="AN359" s="94"/>
      <c r="AO359" s="94"/>
      <c r="AP359" s="94"/>
      <c r="AQ359" s="94"/>
      <c r="AR359" s="94"/>
      <c r="AS359" s="94"/>
    </row>
    <row r="360" spans="1: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94"/>
      <c r="AI360" s="94"/>
      <c r="AJ360" s="94"/>
      <c r="AK360" s="94"/>
      <c r="AL360" s="94"/>
      <c r="AM360" s="94"/>
      <c r="AN360" s="94"/>
      <c r="AO360" s="94"/>
      <c r="AP360" s="94"/>
      <c r="AQ360" s="94"/>
      <c r="AR360" s="94"/>
      <c r="AS360" s="94"/>
    </row>
    <row r="361" spans="1: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94"/>
      <c r="AI361" s="94"/>
      <c r="AJ361" s="94"/>
      <c r="AK361" s="94"/>
      <c r="AL361" s="94"/>
      <c r="AM361" s="94"/>
      <c r="AN361" s="94"/>
      <c r="AO361" s="94"/>
      <c r="AP361" s="94"/>
      <c r="AQ361" s="94"/>
      <c r="AR361" s="94"/>
      <c r="AS361" s="94"/>
    </row>
    <row r="362" spans="1: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94"/>
      <c r="AI362" s="94"/>
      <c r="AJ362" s="94"/>
      <c r="AK362" s="94"/>
      <c r="AL362" s="94"/>
      <c r="AM362" s="94"/>
      <c r="AN362" s="94"/>
      <c r="AO362" s="94"/>
      <c r="AP362" s="94"/>
      <c r="AQ362" s="94"/>
      <c r="AR362" s="94"/>
      <c r="AS362" s="94"/>
    </row>
    <row r="363" spans="1: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94"/>
      <c r="AI363" s="94"/>
      <c r="AJ363" s="94"/>
      <c r="AK363" s="94"/>
      <c r="AL363" s="94"/>
      <c r="AM363" s="94"/>
      <c r="AN363" s="94"/>
      <c r="AO363" s="94"/>
      <c r="AP363" s="94"/>
      <c r="AQ363" s="94"/>
      <c r="AR363" s="94"/>
      <c r="AS363" s="94"/>
    </row>
    <row r="364" spans="1: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94"/>
      <c r="AI364" s="94"/>
      <c r="AJ364" s="94"/>
      <c r="AK364" s="94"/>
      <c r="AL364" s="94"/>
      <c r="AM364" s="94"/>
      <c r="AN364" s="94"/>
      <c r="AO364" s="94"/>
      <c r="AP364" s="94"/>
      <c r="AQ364" s="94"/>
      <c r="AR364" s="94"/>
      <c r="AS364" s="94"/>
    </row>
    <row r="365" spans="1: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94"/>
      <c r="AI365" s="94"/>
      <c r="AJ365" s="94"/>
      <c r="AK365" s="94"/>
      <c r="AL365" s="94"/>
      <c r="AM365" s="94"/>
      <c r="AN365" s="94"/>
      <c r="AO365" s="94"/>
      <c r="AP365" s="94"/>
      <c r="AQ365" s="94"/>
      <c r="AR365" s="94"/>
      <c r="AS365" s="94"/>
    </row>
    <row r="366" spans="1: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94"/>
      <c r="AI366" s="94"/>
      <c r="AJ366" s="94"/>
      <c r="AK366" s="94"/>
      <c r="AL366" s="94"/>
      <c r="AM366" s="94"/>
      <c r="AN366" s="94"/>
      <c r="AO366" s="94"/>
      <c r="AP366" s="94"/>
      <c r="AQ366" s="94"/>
      <c r="AR366" s="94"/>
      <c r="AS366" s="94"/>
    </row>
    <row r="367" spans="1: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94"/>
      <c r="AI367" s="94"/>
      <c r="AJ367" s="94"/>
      <c r="AK367" s="94"/>
      <c r="AL367" s="94"/>
      <c r="AM367" s="94"/>
      <c r="AN367" s="94"/>
      <c r="AO367" s="94"/>
      <c r="AP367" s="94"/>
      <c r="AQ367" s="94"/>
      <c r="AR367" s="94"/>
      <c r="AS367" s="94"/>
    </row>
    <row r="368" spans="1: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94"/>
      <c r="AI368" s="94"/>
      <c r="AJ368" s="94"/>
      <c r="AK368" s="94"/>
      <c r="AL368" s="94"/>
      <c r="AM368" s="94"/>
      <c r="AN368" s="94"/>
      <c r="AO368" s="94"/>
      <c r="AP368" s="94"/>
      <c r="AQ368" s="94"/>
      <c r="AR368" s="94"/>
      <c r="AS368" s="94"/>
    </row>
    <row r="369" spans="1: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94"/>
      <c r="AI369" s="94"/>
      <c r="AJ369" s="94"/>
      <c r="AK369" s="94"/>
      <c r="AL369" s="94"/>
      <c r="AM369" s="94"/>
      <c r="AN369" s="94"/>
      <c r="AO369" s="94"/>
      <c r="AP369" s="94"/>
      <c r="AQ369" s="94"/>
      <c r="AR369" s="94"/>
      <c r="AS369" s="94"/>
    </row>
    <row r="370" spans="1: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94"/>
      <c r="AI370" s="94"/>
      <c r="AJ370" s="94"/>
      <c r="AK370" s="94"/>
      <c r="AL370" s="94"/>
      <c r="AM370" s="94"/>
      <c r="AN370" s="94"/>
      <c r="AO370" s="94"/>
      <c r="AP370" s="94"/>
      <c r="AQ370" s="94"/>
      <c r="AR370" s="94"/>
      <c r="AS370" s="94"/>
    </row>
    <row r="371" spans="1: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94"/>
      <c r="AI371" s="94"/>
      <c r="AJ371" s="94"/>
      <c r="AK371" s="94"/>
      <c r="AL371" s="94"/>
      <c r="AM371" s="94"/>
      <c r="AN371" s="94"/>
      <c r="AO371" s="94"/>
      <c r="AP371" s="94"/>
      <c r="AQ371" s="94"/>
      <c r="AR371" s="94"/>
      <c r="AS371" s="94"/>
    </row>
    <row r="372" spans="1: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94"/>
      <c r="AI372" s="94"/>
      <c r="AJ372" s="94"/>
      <c r="AK372" s="94"/>
      <c r="AL372" s="94"/>
      <c r="AM372" s="94"/>
      <c r="AN372" s="94"/>
      <c r="AO372" s="94"/>
      <c r="AP372" s="94"/>
      <c r="AQ372" s="94"/>
      <c r="AR372" s="94"/>
      <c r="AS372" s="94"/>
    </row>
    <row r="373" spans="1: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94"/>
      <c r="AI373" s="94"/>
      <c r="AJ373" s="94"/>
      <c r="AK373" s="94"/>
      <c r="AL373" s="94"/>
      <c r="AM373" s="94"/>
      <c r="AN373" s="94"/>
      <c r="AO373" s="94"/>
      <c r="AP373" s="94"/>
      <c r="AQ373" s="94"/>
      <c r="AR373" s="94"/>
      <c r="AS373" s="94"/>
    </row>
    <row r="374" spans="1: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94"/>
      <c r="AI374" s="94"/>
      <c r="AJ374" s="94"/>
      <c r="AK374" s="94"/>
      <c r="AL374" s="94"/>
      <c r="AM374" s="94"/>
      <c r="AN374" s="94"/>
      <c r="AO374" s="94"/>
      <c r="AP374" s="94"/>
      <c r="AQ374" s="94"/>
      <c r="AR374" s="94"/>
      <c r="AS374" s="94"/>
    </row>
    <row r="375" spans="1: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94"/>
      <c r="AI375" s="94"/>
      <c r="AJ375" s="94"/>
      <c r="AK375" s="94"/>
      <c r="AL375" s="94"/>
      <c r="AM375" s="94"/>
      <c r="AN375" s="94"/>
      <c r="AO375" s="94"/>
      <c r="AP375" s="94"/>
      <c r="AQ375" s="94"/>
      <c r="AR375" s="94"/>
      <c r="AS375" s="94"/>
    </row>
    <row r="376" spans="1: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94"/>
      <c r="AI376" s="94"/>
      <c r="AJ376" s="94"/>
      <c r="AK376" s="94"/>
      <c r="AL376" s="94"/>
      <c r="AM376" s="94"/>
      <c r="AN376" s="94"/>
      <c r="AO376" s="94"/>
      <c r="AP376" s="94"/>
      <c r="AQ376" s="94"/>
      <c r="AR376" s="94"/>
      <c r="AS376" s="94"/>
    </row>
    <row r="377" spans="1: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94"/>
      <c r="AI377" s="94"/>
      <c r="AJ377" s="94"/>
      <c r="AK377" s="94"/>
      <c r="AL377" s="94"/>
      <c r="AM377" s="94"/>
      <c r="AN377" s="94"/>
      <c r="AO377" s="94"/>
      <c r="AP377" s="94"/>
      <c r="AQ377" s="94"/>
      <c r="AR377" s="94"/>
      <c r="AS377" s="94"/>
    </row>
    <row r="378" spans="1: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94"/>
      <c r="AI378" s="94"/>
      <c r="AJ378" s="94"/>
      <c r="AK378" s="94"/>
      <c r="AL378" s="94"/>
      <c r="AM378" s="94"/>
      <c r="AN378" s="94"/>
      <c r="AO378" s="94"/>
      <c r="AP378" s="94"/>
      <c r="AQ378" s="94"/>
      <c r="AR378" s="94"/>
      <c r="AS378" s="94"/>
    </row>
    <row r="379" spans="1: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94"/>
      <c r="AI379" s="94"/>
      <c r="AJ379" s="94"/>
      <c r="AK379" s="94"/>
      <c r="AL379" s="94"/>
      <c r="AM379" s="94"/>
      <c r="AN379" s="94"/>
      <c r="AO379" s="94"/>
      <c r="AP379" s="94"/>
      <c r="AQ379" s="94"/>
      <c r="AR379" s="94"/>
      <c r="AS379" s="94"/>
    </row>
    <row r="380" spans="1: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94"/>
      <c r="AI380" s="94"/>
      <c r="AJ380" s="94"/>
      <c r="AK380" s="94"/>
      <c r="AL380" s="94"/>
      <c r="AM380" s="94"/>
      <c r="AN380" s="94"/>
      <c r="AO380" s="94"/>
      <c r="AP380" s="94"/>
      <c r="AQ380" s="94"/>
      <c r="AR380" s="94"/>
      <c r="AS380" s="94"/>
    </row>
    <row r="381" spans="1: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94"/>
      <c r="AI381" s="94"/>
      <c r="AJ381" s="94"/>
      <c r="AK381" s="94"/>
      <c r="AL381" s="94"/>
      <c r="AM381" s="94"/>
      <c r="AN381" s="94"/>
      <c r="AO381" s="94"/>
      <c r="AP381" s="94"/>
      <c r="AQ381" s="94"/>
      <c r="AR381" s="94"/>
      <c r="AS381" s="94"/>
    </row>
    <row r="382" spans="1: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94"/>
      <c r="AI382" s="94"/>
      <c r="AJ382" s="94"/>
      <c r="AK382" s="94"/>
      <c r="AL382" s="94"/>
      <c r="AM382" s="94"/>
      <c r="AN382" s="94"/>
      <c r="AO382" s="94"/>
      <c r="AP382" s="94"/>
      <c r="AQ382" s="94"/>
      <c r="AR382" s="94"/>
      <c r="AS382" s="94"/>
    </row>
    <row r="383" spans="1: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94"/>
      <c r="AI383" s="94"/>
      <c r="AJ383" s="94"/>
      <c r="AK383" s="94"/>
      <c r="AL383" s="94"/>
      <c r="AM383" s="94"/>
      <c r="AN383" s="94"/>
      <c r="AO383" s="94"/>
      <c r="AP383" s="94"/>
      <c r="AQ383" s="94"/>
      <c r="AR383" s="94"/>
      <c r="AS383" s="94"/>
    </row>
    <row r="384" spans="1: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94"/>
      <c r="AI384" s="94"/>
      <c r="AJ384" s="94"/>
      <c r="AK384" s="94"/>
      <c r="AL384" s="94"/>
      <c r="AM384" s="94"/>
      <c r="AN384" s="94"/>
      <c r="AO384" s="94"/>
      <c r="AP384" s="94"/>
      <c r="AQ384" s="94"/>
      <c r="AR384" s="94"/>
      <c r="AS384" s="94"/>
    </row>
    <row r="385" spans="1: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94"/>
      <c r="AI385" s="94"/>
      <c r="AJ385" s="94"/>
      <c r="AK385" s="94"/>
      <c r="AL385" s="94"/>
      <c r="AM385" s="94"/>
      <c r="AN385" s="94"/>
      <c r="AO385" s="94"/>
      <c r="AP385" s="94"/>
      <c r="AQ385" s="94"/>
      <c r="AR385" s="94"/>
      <c r="AS385" s="94"/>
    </row>
    <row r="386" spans="1: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94"/>
      <c r="AI386" s="94"/>
      <c r="AJ386" s="94"/>
      <c r="AK386" s="94"/>
      <c r="AL386" s="94"/>
      <c r="AM386" s="94"/>
      <c r="AN386" s="94"/>
      <c r="AO386" s="94"/>
      <c r="AP386" s="94"/>
      <c r="AQ386" s="94"/>
      <c r="AR386" s="94"/>
      <c r="AS386" s="94"/>
    </row>
    <row r="387" spans="1: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94"/>
      <c r="AI387" s="94"/>
      <c r="AJ387" s="94"/>
      <c r="AK387" s="94"/>
      <c r="AL387" s="94"/>
      <c r="AM387" s="94"/>
      <c r="AN387" s="94"/>
      <c r="AO387" s="94"/>
      <c r="AP387" s="94"/>
      <c r="AQ387" s="94"/>
      <c r="AR387" s="94"/>
      <c r="AS387" s="94"/>
    </row>
    <row r="388" spans="1: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94"/>
      <c r="AI388" s="94"/>
      <c r="AJ388" s="94"/>
      <c r="AK388" s="94"/>
      <c r="AL388" s="94"/>
      <c r="AM388" s="94"/>
      <c r="AN388" s="94"/>
      <c r="AO388" s="94"/>
      <c r="AP388" s="94"/>
      <c r="AQ388" s="94"/>
      <c r="AR388" s="94"/>
      <c r="AS388" s="94"/>
    </row>
    <row r="389" spans="1: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94"/>
      <c r="AI389" s="94"/>
      <c r="AJ389" s="94"/>
      <c r="AK389" s="94"/>
      <c r="AL389" s="94"/>
      <c r="AM389" s="94"/>
      <c r="AN389" s="94"/>
      <c r="AO389" s="94"/>
      <c r="AP389" s="94"/>
      <c r="AQ389" s="94"/>
      <c r="AR389" s="94"/>
      <c r="AS389" s="94"/>
    </row>
    <row r="390" spans="1: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94"/>
      <c r="AI390" s="94"/>
      <c r="AJ390" s="94"/>
      <c r="AK390" s="94"/>
      <c r="AL390" s="94"/>
      <c r="AM390" s="94"/>
      <c r="AN390" s="94"/>
      <c r="AO390" s="94"/>
      <c r="AP390" s="94"/>
      <c r="AQ390" s="94"/>
      <c r="AR390" s="94"/>
      <c r="AS390" s="94"/>
    </row>
    <row r="391" spans="1: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94"/>
      <c r="AI391" s="94"/>
      <c r="AJ391" s="94"/>
      <c r="AK391" s="94"/>
      <c r="AL391" s="94"/>
      <c r="AM391" s="94"/>
      <c r="AN391" s="94"/>
      <c r="AO391" s="94"/>
      <c r="AP391" s="94"/>
      <c r="AQ391" s="94"/>
      <c r="AR391" s="94"/>
      <c r="AS391" s="94"/>
    </row>
    <row r="392" spans="1: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94"/>
      <c r="AI392" s="94"/>
      <c r="AJ392" s="94"/>
      <c r="AK392" s="94"/>
      <c r="AL392" s="94"/>
      <c r="AM392" s="94"/>
      <c r="AN392" s="94"/>
      <c r="AO392" s="94"/>
      <c r="AP392" s="94"/>
      <c r="AQ392" s="94"/>
      <c r="AR392" s="94"/>
      <c r="AS392" s="94"/>
    </row>
    <row r="393" spans="1: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94"/>
      <c r="AI393" s="94"/>
      <c r="AJ393" s="94"/>
      <c r="AK393" s="94"/>
      <c r="AL393" s="94"/>
      <c r="AM393" s="94"/>
      <c r="AN393" s="94"/>
      <c r="AO393" s="94"/>
      <c r="AP393" s="94"/>
      <c r="AQ393" s="94"/>
      <c r="AR393" s="94"/>
      <c r="AS393" s="94"/>
    </row>
    <row r="394" spans="1: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94"/>
      <c r="AI394" s="94"/>
      <c r="AJ394" s="94"/>
      <c r="AK394" s="94"/>
      <c r="AL394" s="94"/>
      <c r="AM394" s="94"/>
      <c r="AN394" s="94"/>
      <c r="AO394" s="94"/>
      <c r="AP394" s="94"/>
      <c r="AQ394" s="94"/>
      <c r="AR394" s="94"/>
      <c r="AS394" s="94"/>
    </row>
    <row r="395" spans="1: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94"/>
      <c r="AI395" s="94"/>
      <c r="AJ395" s="94"/>
      <c r="AK395" s="94"/>
      <c r="AL395" s="94"/>
      <c r="AM395" s="94"/>
      <c r="AN395" s="94"/>
      <c r="AO395" s="94"/>
      <c r="AP395" s="94"/>
      <c r="AQ395" s="94"/>
      <c r="AR395" s="94"/>
      <c r="AS395" s="94"/>
    </row>
    <row r="396" spans="1: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94"/>
      <c r="AI396" s="94"/>
      <c r="AJ396" s="94"/>
      <c r="AK396" s="94"/>
      <c r="AL396" s="94"/>
      <c r="AM396" s="94"/>
      <c r="AN396" s="94"/>
      <c r="AO396" s="94"/>
      <c r="AP396" s="94"/>
      <c r="AQ396" s="94"/>
      <c r="AR396" s="94"/>
      <c r="AS396" s="94"/>
    </row>
    <row r="397" spans="1: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94"/>
      <c r="AI397" s="94"/>
      <c r="AJ397" s="94"/>
      <c r="AK397" s="94"/>
      <c r="AL397" s="94"/>
      <c r="AM397" s="94"/>
      <c r="AN397" s="94"/>
      <c r="AO397" s="94"/>
      <c r="AP397" s="94"/>
      <c r="AQ397" s="94"/>
      <c r="AR397" s="94"/>
      <c r="AS397" s="94"/>
    </row>
    <row r="398" spans="1: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94"/>
      <c r="AI398" s="94"/>
      <c r="AJ398" s="94"/>
      <c r="AK398" s="94"/>
      <c r="AL398" s="94"/>
      <c r="AM398" s="94"/>
      <c r="AN398" s="94"/>
      <c r="AO398" s="94"/>
      <c r="AP398" s="94"/>
      <c r="AQ398" s="94"/>
      <c r="AR398" s="94"/>
      <c r="AS398" s="94"/>
    </row>
    <row r="399" spans="1: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94"/>
      <c r="AI399" s="94"/>
      <c r="AJ399" s="94"/>
      <c r="AK399" s="94"/>
      <c r="AL399" s="94"/>
      <c r="AM399" s="94"/>
      <c r="AN399" s="94"/>
      <c r="AO399" s="94"/>
      <c r="AP399" s="94"/>
      <c r="AQ399" s="94"/>
      <c r="AR399" s="94"/>
      <c r="AS399" s="94"/>
    </row>
    <row r="400" spans="1: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94"/>
      <c r="AI400" s="94"/>
      <c r="AJ400" s="94"/>
      <c r="AK400" s="94"/>
      <c r="AL400" s="94"/>
      <c r="AM400" s="94"/>
      <c r="AN400" s="94"/>
      <c r="AO400" s="94"/>
      <c r="AP400" s="94"/>
      <c r="AQ400" s="94"/>
      <c r="AR400" s="94"/>
      <c r="AS400" s="94"/>
    </row>
    <row r="401" spans="1: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94"/>
      <c r="AI401" s="94"/>
      <c r="AJ401" s="94"/>
      <c r="AK401" s="94"/>
      <c r="AL401" s="94"/>
      <c r="AM401" s="94"/>
      <c r="AN401" s="94"/>
      <c r="AO401" s="94"/>
      <c r="AP401" s="94"/>
      <c r="AQ401" s="94"/>
      <c r="AR401" s="94"/>
      <c r="AS401" s="94"/>
    </row>
    <row r="402" spans="1: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94"/>
      <c r="AI402" s="94"/>
      <c r="AJ402" s="94"/>
      <c r="AK402" s="94"/>
      <c r="AL402" s="94"/>
      <c r="AM402" s="94"/>
      <c r="AN402" s="94"/>
      <c r="AO402" s="94"/>
      <c r="AP402" s="94"/>
      <c r="AQ402" s="94"/>
      <c r="AR402" s="94"/>
      <c r="AS402" s="94"/>
    </row>
    <row r="403" spans="1: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94"/>
      <c r="AI403" s="94"/>
      <c r="AJ403" s="94"/>
      <c r="AK403" s="94"/>
      <c r="AL403" s="94"/>
      <c r="AM403" s="94"/>
      <c r="AN403" s="94"/>
      <c r="AO403" s="94"/>
      <c r="AP403" s="94"/>
      <c r="AQ403" s="94"/>
      <c r="AR403" s="94"/>
      <c r="AS403" s="94"/>
    </row>
    <row r="404" spans="1: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94"/>
      <c r="AI404" s="94"/>
      <c r="AJ404" s="94"/>
      <c r="AK404" s="94"/>
      <c r="AL404" s="94"/>
      <c r="AM404" s="94"/>
      <c r="AN404" s="94"/>
      <c r="AO404" s="94"/>
      <c r="AP404" s="94"/>
      <c r="AQ404" s="94"/>
      <c r="AR404" s="94"/>
      <c r="AS404" s="94"/>
    </row>
    <row r="405" spans="1: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94"/>
      <c r="AI405" s="94"/>
      <c r="AJ405" s="94"/>
      <c r="AK405" s="94"/>
      <c r="AL405" s="94"/>
      <c r="AM405" s="94"/>
      <c r="AN405" s="94"/>
      <c r="AO405" s="94"/>
      <c r="AP405" s="94"/>
      <c r="AQ405" s="94"/>
      <c r="AR405" s="94"/>
      <c r="AS405" s="94"/>
    </row>
    <row r="406" spans="1: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94"/>
      <c r="AI406" s="94"/>
      <c r="AJ406" s="94"/>
      <c r="AK406" s="94"/>
      <c r="AL406" s="94"/>
      <c r="AM406" s="94"/>
      <c r="AN406" s="94"/>
      <c r="AO406" s="94"/>
      <c r="AP406" s="94"/>
      <c r="AQ406" s="94"/>
      <c r="AR406" s="94"/>
      <c r="AS406" s="94"/>
    </row>
    <row r="407" spans="1: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94"/>
      <c r="AI407" s="94"/>
      <c r="AJ407" s="94"/>
      <c r="AK407" s="94"/>
      <c r="AL407" s="94"/>
      <c r="AM407" s="94"/>
      <c r="AN407" s="94"/>
      <c r="AO407" s="94"/>
      <c r="AP407" s="94"/>
      <c r="AQ407" s="94"/>
      <c r="AR407" s="94"/>
      <c r="AS407" s="94"/>
    </row>
    <row r="408" spans="1: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94"/>
      <c r="AI408" s="94"/>
      <c r="AJ408" s="94"/>
      <c r="AK408" s="94"/>
      <c r="AL408" s="94"/>
      <c r="AM408" s="94"/>
      <c r="AN408" s="94"/>
      <c r="AO408" s="94"/>
      <c r="AP408" s="94"/>
      <c r="AQ408" s="94"/>
      <c r="AR408" s="94"/>
      <c r="AS408" s="94"/>
    </row>
    <row r="409" spans="1: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94"/>
      <c r="AI409" s="94"/>
      <c r="AJ409" s="94"/>
      <c r="AK409" s="94"/>
      <c r="AL409" s="94"/>
      <c r="AM409" s="94"/>
      <c r="AN409" s="94"/>
      <c r="AO409" s="94"/>
      <c r="AP409" s="94"/>
      <c r="AQ409" s="94"/>
      <c r="AR409" s="94"/>
      <c r="AS409" s="94"/>
    </row>
    <row r="410" spans="1: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94"/>
      <c r="AI410" s="94"/>
      <c r="AJ410" s="94"/>
      <c r="AK410" s="94"/>
      <c r="AL410" s="94"/>
      <c r="AM410" s="94"/>
      <c r="AN410" s="94"/>
      <c r="AO410" s="94"/>
      <c r="AP410" s="94"/>
      <c r="AQ410" s="94"/>
      <c r="AR410" s="94"/>
      <c r="AS410" s="94"/>
    </row>
    <row r="411" spans="1: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94"/>
      <c r="AI411" s="94"/>
      <c r="AJ411" s="94"/>
      <c r="AK411" s="94"/>
      <c r="AL411" s="94"/>
      <c r="AM411" s="94"/>
      <c r="AN411" s="94"/>
      <c r="AO411" s="94"/>
      <c r="AP411" s="94"/>
      <c r="AQ411" s="94"/>
      <c r="AR411" s="94"/>
      <c r="AS411" s="94"/>
    </row>
    <row r="412" spans="1: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94"/>
      <c r="AI412" s="94"/>
      <c r="AJ412" s="94"/>
      <c r="AK412" s="94"/>
      <c r="AL412" s="94"/>
      <c r="AM412" s="94"/>
      <c r="AN412" s="94"/>
      <c r="AO412" s="94"/>
      <c r="AP412" s="94"/>
      <c r="AQ412" s="94"/>
      <c r="AR412" s="94"/>
      <c r="AS412" s="94"/>
    </row>
    <row r="413" spans="1: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94"/>
      <c r="AI413" s="94"/>
      <c r="AJ413" s="94"/>
      <c r="AK413" s="94"/>
      <c r="AL413" s="94"/>
      <c r="AM413" s="94"/>
      <c r="AN413" s="94"/>
      <c r="AO413" s="94"/>
      <c r="AP413" s="94"/>
      <c r="AQ413" s="94"/>
      <c r="AR413" s="94"/>
      <c r="AS413" s="94"/>
    </row>
    <row r="414" spans="1: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94"/>
      <c r="AI414" s="94"/>
      <c r="AJ414" s="94"/>
      <c r="AK414" s="94"/>
      <c r="AL414" s="94"/>
      <c r="AM414" s="94"/>
      <c r="AN414" s="94"/>
      <c r="AO414" s="94"/>
      <c r="AP414" s="94"/>
      <c r="AQ414" s="94"/>
      <c r="AR414" s="94"/>
      <c r="AS414" s="94"/>
    </row>
    <row r="415" spans="1: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94"/>
      <c r="AI415" s="94"/>
      <c r="AJ415" s="94"/>
      <c r="AK415" s="94"/>
      <c r="AL415" s="94"/>
      <c r="AM415" s="94"/>
      <c r="AN415" s="94"/>
      <c r="AO415" s="94"/>
      <c r="AP415" s="94"/>
      <c r="AQ415" s="94"/>
      <c r="AR415" s="94"/>
      <c r="AS415" s="94"/>
    </row>
    <row r="416" spans="1: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94"/>
      <c r="AI416" s="94"/>
      <c r="AJ416" s="94"/>
      <c r="AK416" s="94"/>
      <c r="AL416" s="94"/>
      <c r="AM416" s="94"/>
      <c r="AN416" s="94"/>
      <c r="AO416" s="94"/>
      <c r="AP416" s="94"/>
      <c r="AQ416" s="94"/>
      <c r="AR416" s="94"/>
      <c r="AS416" s="94"/>
    </row>
    <row r="417" spans="1: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94"/>
      <c r="AI417" s="94"/>
      <c r="AJ417" s="94"/>
      <c r="AK417" s="94"/>
      <c r="AL417" s="94"/>
      <c r="AM417" s="94"/>
      <c r="AN417" s="94"/>
      <c r="AO417" s="94"/>
      <c r="AP417" s="94"/>
      <c r="AQ417" s="94"/>
      <c r="AR417" s="94"/>
      <c r="AS417" s="94"/>
    </row>
    <row r="418" spans="1: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94"/>
      <c r="AI418" s="94"/>
      <c r="AJ418" s="94"/>
      <c r="AK418" s="94"/>
      <c r="AL418" s="94"/>
      <c r="AM418" s="94"/>
      <c r="AN418" s="94"/>
      <c r="AO418" s="94"/>
      <c r="AP418" s="94"/>
      <c r="AQ418" s="94"/>
      <c r="AR418" s="94"/>
      <c r="AS418" s="94"/>
    </row>
    <row r="419" spans="1: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94"/>
      <c r="AI419" s="94"/>
      <c r="AJ419" s="94"/>
      <c r="AK419" s="94"/>
      <c r="AL419" s="94"/>
      <c r="AM419" s="94"/>
      <c r="AN419" s="94"/>
      <c r="AO419" s="94"/>
      <c r="AP419" s="94"/>
      <c r="AQ419" s="94"/>
      <c r="AR419" s="94"/>
      <c r="AS419" s="94"/>
    </row>
    <row r="420" spans="1: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94"/>
      <c r="AI420" s="94"/>
      <c r="AJ420" s="94"/>
      <c r="AK420" s="94"/>
      <c r="AL420" s="94"/>
      <c r="AM420" s="94"/>
      <c r="AN420" s="94"/>
      <c r="AO420" s="94"/>
      <c r="AP420" s="94"/>
      <c r="AQ420" s="94"/>
      <c r="AR420" s="94"/>
      <c r="AS420" s="94"/>
    </row>
    <row r="421" spans="1: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94"/>
      <c r="AI421" s="94"/>
      <c r="AJ421" s="94"/>
      <c r="AK421" s="94"/>
      <c r="AL421" s="94"/>
      <c r="AM421" s="94"/>
      <c r="AN421" s="94"/>
      <c r="AO421" s="94"/>
      <c r="AP421" s="94"/>
      <c r="AQ421" s="94"/>
      <c r="AR421" s="94"/>
      <c r="AS421" s="94"/>
    </row>
    <row r="422" spans="1: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94"/>
      <c r="AI422" s="94"/>
      <c r="AJ422" s="94"/>
      <c r="AK422" s="94"/>
      <c r="AL422" s="94"/>
      <c r="AM422" s="94"/>
      <c r="AN422" s="94"/>
      <c r="AO422" s="94"/>
      <c r="AP422" s="94"/>
      <c r="AQ422" s="94"/>
      <c r="AR422" s="94"/>
      <c r="AS422" s="94"/>
    </row>
    <row r="423" spans="1: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94"/>
      <c r="AI423" s="94"/>
      <c r="AJ423" s="94"/>
      <c r="AK423" s="94"/>
      <c r="AL423" s="94"/>
      <c r="AM423" s="94"/>
      <c r="AN423" s="94"/>
      <c r="AO423" s="94"/>
      <c r="AP423" s="94"/>
      <c r="AQ423" s="94"/>
      <c r="AR423" s="94"/>
      <c r="AS423" s="94"/>
    </row>
    <row r="424" spans="1: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94"/>
      <c r="AI424" s="94"/>
      <c r="AJ424" s="94"/>
      <c r="AK424" s="94"/>
      <c r="AL424" s="94"/>
      <c r="AM424" s="94"/>
      <c r="AN424" s="94"/>
      <c r="AO424" s="94"/>
      <c r="AP424" s="94"/>
      <c r="AQ424" s="94"/>
      <c r="AR424" s="94"/>
      <c r="AS424" s="94"/>
    </row>
    <row r="425" spans="1: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94"/>
      <c r="AI425" s="94"/>
      <c r="AJ425" s="94"/>
      <c r="AK425" s="94"/>
      <c r="AL425" s="94"/>
      <c r="AM425" s="94"/>
      <c r="AN425" s="94"/>
      <c r="AO425" s="94"/>
      <c r="AP425" s="94"/>
      <c r="AQ425" s="94"/>
      <c r="AR425" s="94"/>
      <c r="AS425" s="94"/>
    </row>
    <row r="426" spans="1: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94"/>
      <c r="AI426" s="94"/>
      <c r="AJ426" s="94"/>
      <c r="AK426" s="94"/>
      <c r="AL426" s="94"/>
      <c r="AM426" s="94"/>
      <c r="AN426" s="94"/>
      <c r="AO426" s="94"/>
      <c r="AP426" s="94"/>
      <c r="AQ426" s="94"/>
      <c r="AR426" s="94"/>
      <c r="AS426" s="94"/>
    </row>
    <row r="427" spans="1: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94"/>
      <c r="AI427" s="94"/>
      <c r="AJ427" s="94"/>
      <c r="AK427" s="94"/>
      <c r="AL427" s="94"/>
      <c r="AM427" s="94"/>
      <c r="AN427" s="94"/>
      <c r="AO427" s="94"/>
      <c r="AP427" s="94"/>
      <c r="AQ427" s="94"/>
      <c r="AR427" s="94"/>
      <c r="AS427" s="94"/>
    </row>
    <row r="428" spans="1: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94"/>
      <c r="AI428" s="94"/>
      <c r="AJ428" s="94"/>
      <c r="AK428" s="94"/>
      <c r="AL428" s="94"/>
      <c r="AM428" s="94"/>
      <c r="AN428" s="94"/>
      <c r="AO428" s="94"/>
      <c r="AP428" s="94"/>
      <c r="AQ428" s="94"/>
      <c r="AR428" s="94"/>
      <c r="AS428" s="94"/>
    </row>
    <row r="429" spans="1: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94"/>
      <c r="AI429" s="94"/>
      <c r="AJ429" s="94"/>
      <c r="AK429" s="94"/>
      <c r="AL429" s="94"/>
      <c r="AM429" s="94"/>
      <c r="AN429" s="94"/>
      <c r="AO429" s="94"/>
      <c r="AP429" s="94"/>
      <c r="AQ429" s="94"/>
      <c r="AR429" s="94"/>
      <c r="AS429" s="94"/>
    </row>
    <row r="430" spans="1: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94"/>
      <c r="AI430" s="94"/>
      <c r="AJ430" s="94"/>
      <c r="AK430" s="94"/>
      <c r="AL430" s="94"/>
      <c r="AM430" s="94"/>
      <c r="AN430" s="94"/>
      <c r="AO430" s="94"/>
      <c r="AP430" s="94"/>
      <c r="AQ430" s="94"/>
      <c r="AR430" s="94"/>
      <c r="AS430" s="94"/>
    </row>
    <row r="431" spans="1: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94"/>
      <c r="AI431" s="94"/>
      <c r="AJ431" s="94"/>
      <c r="AK431" s="94"/>
      <c r="AL431" s="94"/>
      <c r="AM431" s="94"/>
      <c r="AN431" s="94"/>
      <c r="AO431" s="94"/>
      <c r="AP431" s="94"/>
      <c r="AQ431" s="94"/>
      <c r="AR431" s="94"/>
      <c r="AS431" s="94"/>
    </row>
    <row r="432" spans="1: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94"/>
      <c r="AI432" s="94"/>
      <c r="AJ432" s="94"/>
      <c r="AK432" s="94"/>
      <c r="AL432" s="94"/>
      <c r="AM432" s="94"/>
      <c r="AN432" s="94"/>
      <c r="AO432" s="94"/>
      <c r="AP432" s="94"/>
      <c r="AQ432" s="94"/>
      <c r="AR432" s="94"/>
      <c r="AS432" s="94"/>
    </row>
    <row r="433" spans="1: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94"/>
      <c r="AI433" s="94"/>
      <c r="AJ433" s="94"/>
      <c r="AK433" s="94"/>
      <c r="AL433" s="94"/>
      <c r="AM433" s="94"/>
      <c r="AN433" s="94"/>
      <c r="AO433" s="94"/>
      <c r="AP433" s="94"/>
      <c r="AQ433" s="94"/>
      <c r="AR433" s="94"/>
      <c r="AS433" s="94"/>
    </row>
    <row r="434" spans="1: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94"/>
      <c r="AI434" s="94"/>
      <c r="AJ434" s="94"/>
      <c r="AK434" s="94"/>
      <c r="AL434" s="94"/>
      <c r="AM434" s="94"/>
      <c r="AN434" s="94"/>
      <c r="AO434" s="94"/>
      <c r="AP434" s="94"/>
      <c r="AQ434" s="94"/>
      <c r="AR434" s="94"/>
      <c r="AS434" s="94"/>
    </row>
    <row r="435" spans="1: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94"/>
      <c r="AI435" s="94"/>
      <c r="AJ435" s="94"/>
      <c r="AK435" s="94"/>
      <c r="AL435" s="94"/>
      <c r="AM435" s="94"/>
      <c r="AN435" s="94"/>
      <c r="AO435" s="94"/>
      <c r="AP435" s="94"/>
      <c r="AQ435" s="94"/>
      <c r="AR435" s="94"/>
      <c r="AS435" s="94"/>
    </row>
    <row r="436" spans="1: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94"/>
      <c r="AI436" s="94"/>
      <c r="AJ436" s="94"/>
      <c r="AK436" s="94"/>
      <c r="AL436" s="94"/>
      <c r="AM436" s="94"/>
      <c r="AN436" s="94"/>
      <c r="AO436" s="94"/>
      <c r="AP436" s="94"/>
      <c r="AQ436" s="94"/>
      <c r="AR436" s="94"/>
      <c r="AS436" s="94"/>
    </row>
    <row r="437" spans="1: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94"/>
      <c r="AI437" s="94"/>
      <c r="AJ437" s="94"/>
      <c r="AK437" s="94"/>
      <c r="AL437" s="94"/>
      <c r="AM437" s="94"/>
      <c r="AN437" s="94"/>
      <c r="AO437" s="94"/>
      <c r="AP437" s="94"/>
      <c r="AQ437" s="94"/>
      <c r="AR437" s="94"/>
      <c r="AS437" s="94"/>
    </row>
    <row r="438" spans="1: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94"/>
      <c r="AI438" s="94"/>
      <c r="AJ438" s="94"/>
      <c r="AK438" s="94"/>
      <c r="AL438" s="94"/>
      <c r="AM438" s="94"/>
      <c r="AN438" s="94"/>
      <c r="AO438" s="94"/>
      <c r="AP438" s="94"/>
      <c r="AQ438" s="94"/>
      <c r="AR438" s="94"/>
      <c r="AS438" s="94"/>
    </row>
    <row r="439" spans="1: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94"/>
      <c r="AI439" s="94"/>
      <c r="AJ439" s="94"/>
      <c r="AK439" s="94"/>
      <c r="AL439" s="94"/>
      <c r="AM439" s="94"/>
      <c r="AN439" s="94"/>
      <c r="AO439" s="94"/>
      <c r="AP439" s="94"/>
      <c r="AQ439" s="94"/>
      <c r="AR439" s="94"/>
      <c r="AS439" s="94"/>
    </row>
    <row r="440" spans="1: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94"/>
      <c r="AI440" s="94"/>
      <c r="AJ440" s="94"/>
      <c r="AK440" s="94"/>
      <c r="AL440" s="94"/>
      <c r="AM440" s="94"/>
      <c r="AN440" s="94"/>
      <c r="AO440" s="94"/>
      <c r="AP440" s="94"/>
      <c r="AQ440" s="94"/>
      <c r="AR440" s="94"/>
      <c r="AS440" s="94"/>
    </row>
    <row r="441" spans="1: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94"/>
      <c r="AI441" s="94"/>
      <c r="AJ441" s="94"/>
      <c r="AK441" s="94"/>
      <c r="AL441" s="94"/>
      <c r="AM441" s="94"/>
      <c r="AN441" s="94"/>
      <c r="AO441" s="94"/>
      <c r="AP441" s="94"/>
      <c r="AQ441" s="94"/>
      <c r="AR441" s="94"/>
      <c r="AS441" s="94"/>
    </row>
    <row r="442" spans="1: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94"/>
      <c r="AI442" s="94"/>
      <c r="AJ442" s="94"/>
      <c r="AK442" s="94"/>
      <c r="AL442" s="94"/>
      <c r="AM442" s="94"/>
      <c r="AN442" s="94"/>
      <c r="AO442" s="94"/>
      <c r="AP442" s="94"/>
      <c r="AQ442" s="94"/>
      <c r="AR442" s="94"/>
      <c r="AS442" s="94"/>
    </row>
    <row r="443" spans="1: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94"/>
      <c r="AI443" s="94"/>
      <c r="AJ443" s="94"/>
      <c r="AK443" s="94"/>
      <c r="AL443" s="94"/>
      <c r="AM443" s="94"/>
      <c r="AN443" s="94"/>
      <c r="AO443" s="94"/>
      <c r="AP443" s="94"/>
      <c r="AQ443" s="94"/>
      <c r="AR443" s="94"/>
      <c r="AS443" s="94"/>
    </row>
    <row r="444" spans="1: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94"/>
      <c r="AI444" s="94"/>
      <c r="AJ444" s="94"/>
      <c r="AK444" s="94"/>
      <c r="AL444" s="94"/>
      <c r="AM444" s="94"/>
      <c r="AN444" s="94"/>
      <c r="AO444" s="94"/>
      <c r="AP444" s="94"/>
      <c r="AQ444" s="94"/>
      <c r="AR444" s="94"/>
      <c r="AS444" s="94"/>
    </row>
    <row r="445" spans="1: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94"/>
      <c r="AI445" s="94"/>
      <c r="AJ445" s="94"/>
      <c r="AK445" s="94"/>
      <c r="AL445" s="94"/>
      <c r="AM445" s="94"/>
      <c r="AN445" s="94"/>
      <c r="AO445" s="94"/>
      <c r="AP445" s="94"/>
      <c r="AQ445" s="94"/>
      <c r="AR445" s="94"/>
      <c r="AS445" s="94"/>
    </row>
    <row r="446" spans="1: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94"/>
      <c r="AI446" s="94"/>
      <c r="AJ446" s="94"/>
      <c r="AK446" s="94"/>
      <c r="AL446" s="94"/>
      <c r="AM446" s="94"/>
      <c r="AN446" s="94"/>
      <c r="AO446" s="94"/>
      <c r="AP446" s="94"/>
      <c r="AQ446" s="94"/>
      <c r="AR446" s="94"/>
      <c r="AS446" s="94"/>
    </row>
    <row r="447" spans="1: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94"/>
      <c r="AI447" s="94"/>
      <c r="AJ447" s="94"/>
      <c r="AK447" s="94"/>
      <c r="AL447" s="94"/>
      <c r="AM447" s="94"/>
      <c r="AN447" s="94"/>
      <c r="AO447" s="94"/>
      <c r="AP447" s="94"/>
      <c r="AQ447" s="94"/>
      <c r="AR447" s="94"/>
      <c r="AS447" s="94"/>
    </row>
    <row r="448" spans="1: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94"/>
      <c r="AI448" s="94"/>
      <c r="AJ448" s="94"/>
      <c r="AK448" s="94"/>
      <c r="AL448" s="94"/>
      <c r="AM448" s="94"/>
      <c r="AN448" s="94"/>
      <c r="AO448" s="94"/>
      <c r="AP448" s="94"/>
      <c r="AQ448" s="94"/>
      <c r="AR448" s="94"/>
      <c r="AS448" s="94"/>
    </row>
    <row r="449" spans="1: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94"/>
      <c r="AI449" s="94"/>
      <c r="AJ449" s="94"/>
      <c r="AK449" s="94"/>
      <c r="AL449" s="94"/>
      <c r="AM449" s="94"/>
      <c r="AN449" s="94"/>
      <c r="AO449" s="94"/>
      <c r="AP449" s="94"/>
      <c r="AQ449" s="94"/>
      <c r="AR449" s="94"/>
      <c r="AS449" s="94"/>
    </row>
    <row r="450" spans="1: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94"/>
      <c r="AI450" s="94"/>
      <c r="AJ450" s="94"/>
      <c r="AK450" s="94"/>
      <c r="AL450" s="94"/>
      <c r="AM450" s="94"/>
      <c r="AN450" s="94"/>
      <c r="AO450" s="94"/>
      <c r="AP450" s="94"/>
      <c r="AQ450" s="94"/>
      <c r="AR450" s="94"/>
      <c r="AS450" s="94"/>
    </row>
    <row r="451" spans="1: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94"/>
      <c r="AI451" s="94"/>
      <c r="AJ451" s="94"/>
      <c r="AK451" s="94"/>
      <c r="AL451" s="94"/>
      <c r="AM451" s="94"/>
      <c r="AN451" s="94"/>
      <c r="AO451" s="94"/>
      <c r="AP451" s="94"/>
      <c r="AQ451" s="94"/>
      <c r="AR451" s="94"/>
      <c r="AS451" s="94"/>
    </row>
    <row r="452" spans="1: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94"/>
      <c r="AI452" s="94"/>
      <c r="AJ452" s="94"/>
      <c r="AK452" s="94"/>
      <c r="AL452" s="94"/>
      <c r="AM452" s="94"/>
      <c r="AN452" s="94"/>
      <c r="AO452" s="94"/>
      <c r="AP452" s="94"/>
      <c r="AQ452" s="94"/>
      <c r="AR452" s="94"/>
      <c r="AS452" s="94"/>
    </row>
    <row r="453" spans="1: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94"/>
      <c r="AI453" s="94"/>
      <c r="AJ453" s="94"/>
      <c r="AK453" s="94"/>
      <c r="AL453" s="94"/>
      <c r="AM453" s="94"/>
      <c r="AN453" s="94"/>
      <c r="AO453" s="94"/>
      <c r="AP453" s="94"/>
      <c r="AQ453" s="94"/>
      <c r="AR453" s="94"/>
      <c r="AS453" s="94"/>
    </row>
    <row r="454" spans="1: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94"/>
      <c r="AI454" s="94"/>
      <c r="AJ454" s="94"/>
      <c r="AK454" s="94"/>
      <c r="AL454" s="94"/>
      <c r="AM454" s="94"/>
      <c r="AN454" s="94"/>
      <c r="AO454" s="94"/>
      <c r="AP454" s="94"/>
      <c r="AQ454" s="94"/>
      <c r="AR454" s="94"/>
      <c r="AS454" s="94"/>
    </row>
    <row r="455" spans="1: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94"/>
      <c r="AI455" s="94"/>
      <c r="AJ455" s="94"/>
      <c r="AK455" s="94"/>
      <c r="AL455" s="94"/>
      <c r="AM455" s="94"/>
      <c r="AN455" s="94"/>
      <c r="AO455" s="94"/>
      <c r="AP455" s="94"/>
      <c r="AQ455" s="94"/>
      <c r="AR455" s="94"/>
      <c r="AS455" s="94"/>
    </row>
    <row r="456" spans="1: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94"/>
      <c r="AI456" s="94"/>
      <c r="AJ456" s="94"/>
      <c r="AK456" s="94"/>
      <c r="AL456" s="94"/>
      <c r="AM456" s="94"/>
      <c r="AN456" s="94"/>
      <c r="AO456" s="94"/>
      <c r="AP456" s="94"/>
      <c r="AQ456" s="94"/>
      <c r="AR456" s="94"/>
      <c r="AS456" s="94"/>
    </row>
    <row r="457" spans="1: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94"/>
      <c r="AI457" s="94"/>
      <c r="AJ457" s="94"/>
      <c r="AK457" s="94"/>
      <c r="AL457" s="94"/>
      <c r="AM457" s="94"/>
      <c r="AN457" s="94"/>
      <c r="AO457" s="94"/>
      <c r="AP457" s="94"/>
      <c r="AQ457" s="94"/>
      <c r="AR457" s="94"/>
      <c r="AS457" s="94"/>
    </row>
    <row r="458" spans="1: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94"/>
      <c r="AI458" s="94"/>
      <c r="AJ458" s="94"/>
      <c r="AK458" s="94"/>
      <c r="AL458" s="94"/>
      <c r="AM458" s="94"/>
      <c r="AN458" s="94"/>
      <c r="AO458" s="94"/>
      <c r="AP458" s="94"/>
      <c r="AQ458" s="94"/>
      <c r="AR458" s="94"/>
      <c r="AS458" s="94"/>
    </row>
    <row r="459" spans="1: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94"/>
      <c r="AI459" s="94"/>
      <c r="AJ459" s="94"/>
      <c r="AK459" s="94"/>
      <c r="AL459" s="94"/>
      <c r="AM459" s="94"/>
      <c r="AN459" s="94"/>
      <c r="AO459" s="94"/>
      <c r="AP459" s="94"/>
      <c r="AQ459" s="94"/>
      <c r="AR459" s="94"/>
      <c r="AS459" s="94"/>
    </row>
    <row r="460" spans="1: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94"/>
      <c r="AI460" s="94"/>
      <c r="AJ460" s="94"/>
      <c r="AK460" s="94"/>
      <c r="AL460" s="94"/>
      <c r="AM460" s="94"/>
      <c r="AN460" s="94"/>
      <c r="AO460" s="94"/>
      <c r="AP460" s="94"/>
      <c r="AQ460" s="94"/>
      <c r="AR460" s="94"/>
      <c r="AS460" s="94"/>
    </row>
    <row r="461" spans="1: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94"/>
      <c r="AI461" s="94"/>
      <c r="AJ461" s="94"/>
      <c r="AK461" s="94"/>
      <c r="AL461" s="94"/>
      <c r="AM461" s="94"/>
      <c r="AN461" s="94"/>
      <c r="AO461" s="94"/>
      <c r="AP461" s="94"/>
      <c r="AQ461" s="94"/>
      <c r="AR461" s="94"/>
      <c r="AS461" s="94"/>
    </row>
    <row r="462" spans="1: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94"/>
      <c r="AI462" s="94"/>
      <c r="AJ462" s="94"/>
      <c r="AK462" s="94"/>
      <c r="AL462" s="94"/>
      <c r="AM462" s="94"/>
      <c r="AN462" s="94"/>
      <c r="AO462" s="94"/>
      <c r="AP462" s="94"/>
      <c r="AQ462" s="94"/>
      <c r="AR462" s="94"/>
      <c r="AS462" s="94"/>
    </row>
    <row r="463" spans="1: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94"/>
      <c r="AI463" s="94"/>
      <c r="AJ463" s="94"/>
      <c r="AK463" s="94"/>
      <c r="AL463" s="94"/>
      <c r="AM463" s="94"/>
      <c r="AN463" s="94"/>
      <c r="AO463" s="94"/>
      <c r="AP463" s="94"/>
      <c r="AQ463" s="94"/>
      <c r="AR463" s="94"/>
      <c r="AS463" s="94"/>
    </row>
    <row r="464" spans="1: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94"/>
      <c r="AI464" s="94"/>
      <c r="AJ464" s="94"/>
      <c r="AK464" s="94"/>
      <c r="AL464" s="94"/>
      <c r="AM464" s="94"/>
      <c r="AN464" s="94"/>
      <c r="AO464" s="94"/>
      <c r="AP464" s="94"/>
      <c r="AQ464" s="94"/>
      <c r="AR464" s="94"/>
      <c r="AS464" s="94"/>
    </row>
    <row r="465" spans="1: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94"/>
      <c r="AI465" s="94"/>
      <c r="AJ465" s="94"/>
      <c r="AK465" s="94"/>
      <c r="AL465" s="94"/>
      <c r="AM465" s="94"/>
      <c r="AN465" s="94"/>
      <c r="AO465" s="94"/>
      <c r="AP465" s="94"/>
      <c r="AQ465" s="94"/>
      <c r="AR465" s="94"/>
      <c r="AS465" s="94"/>
    </row>
    <row r="466" spans="1: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94"/>
      <c r="AI466" s="94"/>
      <c r="AJ466" s="94"/>
      <c r="AK466" s="94"/>
      <c r="AL466" s="94"/>
      <c r="AM466" s="94"/>
      <c r="AN466" s="94"/>
      <c r="AO466" s="94"/>
      <c r="AP466" s="94"/>
      <c r="AQ466" s="94"/>
      <c r="AR466" s="94"/>
      <c r="AS466" s="94"/>
    </row>
    <row r="467" spans="1: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94"/>
      <c r="AI467" s="94"/>
      <c r="AJ467" s="94"/>
      <c r="AK467" s="94"/>
      <c r="AL467" s="94"/>
      <c r="AM467" s="94"/>
      <c r="AN467" s="94"/>
      <c r="AO467" s="94"/>
      <c r="AP467" s="94"/>
      <c r="AQ467" s="94"/>
      <c r="AR467" s="94"/>
      <c r="AS467" s="94"/>
    </row>
    <row r="468" spans="1: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94"/>
      <c r="AI468" s="94"/>
      <c r="AJ468" s="94"/>
      <c r="AK468" s="94"/>
      <c r="AL468" s="94"/>
      <c r="AM468" s="94"/>
      <c r="AN468" s="94"/>
      <c r="AO468" s="94"/>
      <c r="AP468" s="94"/>
      <c r="AQ468" s="94"/>
      <c r="AR468" s="94"/>
      <c r="AS468" s="94"/>
    </row>
    <row r="469" spans="1: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94"/>
      <c r="AI469" s="94"/>
      <c r="AJ469" s="94"/>
      <c r="AK469" s="94"/>
      <c r="AL469" s="94"/>
      <c r="AM469" s="94"/>
      <c r="AN469" s="94"/>
      <c r="AO469" s="94"/>
      <c r="AP469" s="94"/>
      <c r="AQ469" s="94"/>
      <c r="AR469" s="94"/>
      <c r="AS469" s="94"/>
    </row>
    <row r="470" spans="1: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94"/>
      <c r="AI470" s="94"/>
      <c r="AJ470" s="94"/>
      <c r="AK470" s="94"/>
      <c r="AL470" s="94"/>
      <c r="AM470" s="94"/>
      <c r="AN470" s="94"/>
      <c r="AO470" s="94"/>
      <c r="AP470" s="94"/>
      <c r="AQ470" s="94"/>
      <c r="AR470" s="94"/>
      <c r="AS470" s="94"/>
    </row>
    <row r="471" spans="1: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94"/>
      <c r="AI471" s="94"/>
      <c r="AJ471" s="94"/>
      <c r="AK471" s="94"/>
      <c r="AL471" s="94"/>
      <c r="AM471" s="94"/>
      <c r="AN471" s="94"/>
      <c r="AO471" s="94"/>
      <c r="AP471" s="94"/>
      <c r="AQ471" s="94"/>
      <c r="AR471" s="94"/>
      <c r="AS471" s="94"/>
    </row>
    <row r="472" spans="1: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94"/>
      <c r="AI472" s="94"/>
      <c r="AJ472" s="94"/>
      <c r="AK472" s="94"/>
      <c r="AL472" s="94"/>
      <c r="AM472" s="94"/>
      <c r="AN472" s="94"/>
      <c r="AO472" s="94"/>
      <c r="AP472" s="94"/>
      <c r="AQ472" s="94"/>
      <c r="AR472" s="94"/>
      <c r="AS472" s="94"/>
    </row>
    <row r="473" spans="1: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94"/>
      <c r="AI473" s="94"/>
      <c r="AJ473" s="94"/>
      <c r="AK473" s="94"/>
      <c r="AL473" s="94"/>
      <c r="AM473" s="94"/>
      <c r="AN473" s="94"/>
      <c r="AO473" s="94"/>
      <c r="AP473" s="94"/>
      <c r="AQ473" s="94"/>
      <c r="AR473" s="94"/>
      <c r="AS473" s="94"/>
    </row>
    <row r="474" spans="1: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94"/>
      <c r="AI474" s="94"/>
      <c r="AJ474" s="94"/>
      <c r="AK474" s="94"/>
      <c r="AL474" s="94"/>
      <c r="AM474" s="94"/>
      <c r="AN474" s="94"/>
      <c r="AO474" s="94"/>
      <c r="AP474" s="94"/>
      <c r="AQ474" s="94"/>
      <c r="AR474" s="94"/>
      <c r="AS474" s="94"/>
    </row>
    <row r="475" spans="1: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94"/>
      <c r="AI475" s="94"/>
      <c r="AJ475" s="94"/>
      <c r="AK475" s="94"/>
      <c r="AL475" s="94"/>
      <c r="AM475" s="94"/>
      <c r="AN475" s="94"/>
      <c r="AO475" s="94"/>
      <c r="AP475" s="94"/>
      <c r="AQ475" s="94"/>
      <c r="AR475" s="94"/>
      <c r="AS475" s="94"/>
    </row>
    <row r="476" spans="1: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94"/>
      <c r="AI476" s="94"/>
      <c r="AJ476" s="94"/>
      <c r="AK476" s="94"/>
      <c r="AL476" s="94"/>
      <c r="AM476" s="94"/>
      <c r="AN476" s="94"/>
      <c r="AO476" s="94"/>
      <c r="AP476" s="94"/>
      <c r="AQ476" s="94"/>
      <c r="AR476" s="94"/>
      <c r="AS476" s="94"/>
    </row>
    <row r="477" spans="1: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94"/>
      <c r="AI477" s="94"/>
      <c r="AJ477" s="94"/>
      <c r="AK477" s="94"/>
      <c r="AL477" s="94"/>
      <c r="AM477" s="94"/>
      <c r="AN477" s="94"/>
      <c r="AO477" s="94"/>
      <c r="AP477" s="94"/>
      <c r="AQ477" s="94"/>
      <c r="AR477" s="94"/>
      <c r="AS477" s="94"/>
    </row>
    <row r="478" spans="1: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94"/>
      <c r="AI478" s="94"/>
      <c r="AJ478" s="94"/>
      <c r="AK478" s="94"/>
      <c r="AL478" s="94"/>
      <c r="AM478" s="94"/>
      <c r="AN478" s="94"/>
      <c r="AO478" s="94"/>
      <c r="AP478" s="94"/>
      <c r="AQ478" s="94"/>
      <c r="AR478" s="94"/>
      <c r="AS478" s="94"/>
    </row>
    <row r="479" spans="1: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94"/>
      <c r="AI479" s="94"/>
      <c r="AJ479" s="94"/>
      <c r="AK479" s="94"/>
      <c r="AL479" s="94"/>
      <c r="AM479" s="94"/>
      <c r="AN479" s="94"/>
      <c r="AO479" s="94"/>
      <c r="AP479" s="94"/>
      <c r="AQ479" s="94"/>
      <c r="AR479" s="94"/>
      <c r="AS479" s="94"/>
    </row>
    <row r="480" spans="1: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94"/>
      <c r="AI480" s="94"/>
      <c r="AJ480" s="94"/>
      <c r="AK480" s="94"/>
      <c r="AL480" s="94"/>
      <c r="AM480" s="94"/>
      <c r="AN480" s="94"/>
      <c r="AO480" s="94"/>
      <c r="AP480" s="94"/>
      <c r="AQ480" s="94"/>
      <c r="AR480" s="94"/>
      <c r="AS480" s="94"/>
    </row>
    <row r="481" spans="1: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94"/>
      <c r="AI481" s="94"/>
      <c r="AJ481" s="94"/>
      <c r="AK481" s="94"/>
      <c r="AL481" s="94"/>
      <c r="AM481" s="94"/>
      <c r="AN481" s="94"/>
      <c r="AO481" s="94"/>
      <c r="AP481" s="94"/>
      <c r="AQ481" s="94"/>
      <c r="AR481" s="94"/>
      <c r="AS481" s="94"/>
    </row>
    <row r="482" spans="1: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94"/>
      <c r="AI482" s="94"/>
      <c r="AJ482" s="94"/>
      <c r="AK482" s="94"/>
      <c r="AL482" s="94"/>
      <c r="AM482" s="94"/>
      <c r="AN482" s="94"/>
      <c r="AO482" s="94"/>
      <c r="AP482" s="94"/>
      <c r="AQ482" s="94"/>
      <c r="AR482" s="94"/>
      <c r="AS482" s="94"/>
    </row>
    <row r="483" spans="1: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94"/>
      <c r="AI483" s="94"/>
      <c r="AJ483" s="94"/>
      <c r="AK483" s="94"/>
      <c r="AL483" s="94"/>
      <c r="AM483" s="94"/>
      <c r="AN483" s="94"/>
      <c r="AO483" s="94"/>
      <c r="AP483" s="94"/>
      <c r="AQ483" s="94"/>
      <c r="AR483" s="94"/>
      <c r="AS483" s="94"/>
    </row>
    <row r="484" spans="1: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94"/>
      <c r="AI484" s="94"/>
      <c r="AJ484" s="94"/>
      <c r="AK484" s="94"/>
      <c r="AL484" s="94"/>
      <c r="AM484" s="94"/>
      <c r="AN484" s="94"/>
      <c r="AO484" s="94"/>
      <c r="AP484" s="94"/>
      <c r="AQ484" s="94"/>
      <c r="AR484" s="94"/>
      <c r="AS484" s="94"/>
    </row>
    <row r="485" spans="1: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94"/>
      <c r="AI485" s="94"/>
      <c r="AJ485" s="94"/>
      <c r="AK485" s="94"/>
      <c r="AL485" s="94"/>
      <c r="AM485" s="94"/>
      <c r="AN485" s="94"/>
      <c r="AO485" s="94"/>
      <c r="AP485" s="94"/>
      <c r="AQ485" s="94"/>
      <c r="AR485" s="94"/>
      <c r="AS485" s="94"/>
    </row>
    <row r="486" spans="1: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94"/>
      <c r="AI486" s="94"/>
      <c r="AJ486" s="94"/>
      <c r="AK486" s="94"/>
      <c r="AL486" s="94"/>
      <c r="AM486" s="94"/>
      <c r="AN486" s="94"/>
      <c r="AO486" s="94"/>
      <c r="AP486" s="94"/>
      <c r="AQ486" s="94"/>
      <c r="AR486" s="94"/>
      <c r="AS486" s="94"/>
    </row>
    <row r="487" spans="1: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94"/>
      <c r="AI487" s="94"/>
      <c r="AJ487" s="94"/>
      <c r="AK487" s="94"/>
      <c r="AL487" s="94"/>
      <c r="AM487" s="94"/>
      <c r="AN487" s="94"/>
      <c r="AO487" s="94"/>
      <c r="AP487" s="94"/>
      <c r="AQ487" s="94"/>
      <c r="AR487" s="94"/>
      <c r="AS487" s="94"/>
    </row>
    <row r="488" spans="1: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94"/>
      <c r="AI488" s="94"/>
      <c r="AJ488" s="94"/>
      <c r="AK488" s="94"/>
      <c r="AL488" s="94"/>
      <c r="AM488" s="94"/>
      <c r="AN488" s="94"/>
      <c r="AO488" s="94"/>
      <c r="AP488" s="94"/>
      <c r="AQ488" s="94"/>
      <c r="AR488" s="94"/>
      <c r="AS488" s="94"/>
    </row>
    <row r="489" spans="1: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94"/>
      <c r="AI489" s="94"/>
      <c r="AJ489" s="94"/>
      <c r="AK489" s="94"/>
      <c r="AL489" s="94"/>
      <c r="AM489" s="94"/>
      <c r="AN489" s="94"/>
      <c r="AO489" s="94"/>
      <c r="AP489" s="94"/>
      <c r="AQ489" s="94"/>
      <c r="AR489" s="94"/>
      <c r="AS489" s="94"/>
    </row>
    <row r="490" spans="1: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94"/>
      <c r="AI490" s="94"/>
      <c r="AJ490" s="94"/>
      <c r="AK490" s="94"/>
      <c r="AL490" s="94"/>
      <c r="AM490" s="94"/>
      <c r="AN490" s="94"/>
      <c r="AO490" s="94"/>
      <c r="AP490" s="94"/>
      <c r="AQ490" s="94"/>
      <c r="AR490" s="94"/>
      <c r="AS490" s="94"/>
    </row>
    <row r="491" spans="1: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94"/>
      <c r="AI491" s="94"/>
      <c r="AJ491" s="94"/>
      <c r="AK491" s="94"/>
      <c r="AL491" s="94"/>
      <c r="AM491" s="94"/>
      <c r="AN491" s="94"/>
      <c r="AO491" s="94"/>
      <c r="AP491" s="94"/>
      <c r="AQ491" s="94"/>
      <c r="AR491" s="94"/>
      <c r="AS491" s="94"/>
    </row>
    <row r="492" spans="1: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94"/>
      <c r="AI492" s="94"/>
      <c r="AJ492" s="94"/>
      <c r="AK492" s="94"/>
      <c r="AL492" s="94"/>
      <c r="AM492" s="94"/>
      <c r="AN492" s="94"/>
      <c r="AO492" s="94"/>
      <c r="AP492" s="94"/>
      <c r="AQ492" s="94"/>
      <c r="AR492" s="94"/>
      <c r="AS492" s="94"/>
    </row>
    <row r="493" spans="1: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94"/>
      <c r="AI493" s="94"/>
      <c r="AJ493" s="94"/>
      <c r="AK493" s="94"/>
      <c r="AL493" s="94"/>
      <c r="AM493" s="94"/>
      <c r="AN493" s="94"/>
      <c r="AO493" s="94"/>
      <c r="AP493" s="94"/>
      <c r="AQ493" s="94"/>
      <c r="AR493" s="94"/>
      <c r="AS493" s="94"/>
    </row>
    <row r="494" spans="1: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94"/>
      <c r="AI494" s="94"/>
      <c r="AJ494" s="94"/>
      <c r="AK494" s="94"/>
      <c r="AL494" s="94"/>
      <c r="AM494" s="94"/>
      <c r="AN494" s="94"/>
      <c r="AO494" s="94"/>
      <c r="AP494" s="94"/>
      <c r="AQ494" s="94"/>
      <c r="AR494" s="94"/>
      <c r="AS494" s="94"/>
    </row>
    <row r="495" spans="1: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94"/>
      <c r="AI495" s="94"/>
      <c r="AJ495" s="94"/>
      <c r="AK495" s="94"/>
      <c r="AL495" s="94"/>
      <c r="AM495" s="94"/>
      <c r="AN495" s="94"/>
      <c r="AO495" s="94"/>
      <c r="AP495" s="94"/>
      <c r="AQ495" s="94"/>
      <c r="AR495" s="94"/>
      <c r="AS495" s="94"/>
    </row>
    <row r="496" spans="1: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94"/>
      <c r="AI496" s="94"/>
      <c r="AJ496" s="94"/>
      <c r="AK496" s="94"/>
      <c r="AL496" s="94"/>
      <c r="AM496" s="94"/>
      <c r="AN496" s="94"/>
      <c r="AO496" s="94"/>
      <c r="AP496" s="94"/>
      <c r="AQ496" s="94"/>
      <c r="AR496" s="94"/>
      <c r="AS496" s="94"/>
    </row>
    <row r="497" spans="1: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94"/>
      <c r="AI497" s="94"/>
      <c r="AJ497" s="94"/>
      <c r="AK497" s="94"/>
      <c r="AL497" s="94"/>
      <c r="AM497" s="94"/>
      <c r="AN497" s="94"/>
      <c r="AO497" s="94"/>
      <c r="AP497" s="94"/>
      <c r="AQ497" s="94"/>
      <c r="AR497" s="94"/>
      <c r="AS497" s="94"/>
    </row>
    <row r="498" spans="1: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94"/>
      <c r="AI498" s="94"/>
      <c r="AJ498" s="94"/>
      <c r="AK498" s="94"/>
      <c r="AL498" s="94"/>
      <c r="AM498" s="94"/>
      <c r="AN498" s="94"/>
      <c r="AO498" s="94"/>
      <c r="AP498" s="94"/>
      <c r="AQ498" s="94"/>
      <c r="AR498" s="94"/>
      <c r="AS498" s="94"/>
    </row>
    <row r="499" spans="1: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94"/>
      <c r="AI499" s="94"/>
      <c r="AJ499" s="94"/>
      <c r="AK499" s="94"/>
      <c r="AL499" s="94"/>
      <c r="AM499" s="94"/>
      <c r="AN499" s="94"/>
      <c r="AO499" s="94"/>
      <c r="AP499" s="94"/>
      <c r="AQ499" s="94"/>
      <c r="AR499" s="94"/>
      <c r="AS499" s="94"/>
    </row>
    <row r="500" spans="1: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94"/>
      <c r="AI500" s="94"/>
      <c r="AJ500" s="94"/>
      <c r="AK500" s="94"/>
      <c r="AL500" s="94"/>
      <c r="AM500" s="94"/>
      <c r="AN500" s="94"/>
      <c r="AO500" s="94"/>
      <c r="AP500" s="94"/>
      <c r="AQ500" s="94"/>
      <c r="AR500" s="94"/>
      <c r="AS500" s="94"/>
    </row>
    <row r="501" spans="1: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94"/>
      <c r="AI501" s="94"/>
      <c r="AJ501" s="94"/>
      <c r="AK501" s="94"/>
      <c r="AL501" s="94"/>
      <c r="AM501" s="94"/>
      <c r="AN501" s="94"/>
      <c r="AO501" s="94"/>
      <c r="AP501" s="94"/>
      <c r="AQ501" s="94"/>
      <c r="AR501" s="94"/>
      <c r="AS501" s="94"/>
    </row>
    <row r="502" spans="1: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94"/>
      <c r="AI502" s="94"/>
      <c r="AJ502" s="94"/>
      <c r="AK502" s="94"/>
      <c r="AL502" s="94"/>
      <c r="AM502" s="94"/>
      <c r="AN502" s="94"/>
      <c r="AO502" s="94"/>
      <c r="AP502" s="94"/>
      <c r="AQ502" s="94"/>
      <c r="AR502" s="94"/>
      <c r="AS502" s="94"/>
    </row>
    <row r="503" spans="1: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94"/>
      <c r="AI503" s="94"/>
      <c r="AJ503" s="94"/>
      <c r="AK503" s="94"/>
      <c r="AL503" s="94"/>
      <c r="AM503" s="94"/>
      <c r="AN503" s="94"/>
      <c r="AO503" s="94"/>
      <c r="AP503" s="94"/>
      <c r="AQ503" s="94"/>
      <c r="AR503" s="94"/>
      <c r="AS503" s="94"/>
    </row>
    <row r="504" spans="1: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94"/>
      <c r="AI504" s="94"/>
      <c r="AJ504" s="94"/>
      <c r="AK504" s="94"/>
      <c r="AL504" s="94"/>
      <c r="AM504" s="94"/>
      <c r="AN504" s="94"/>
      <c r="AO504" s="94"/>
      <c r="AP504" s="94"/>
      <c r="AQ504" s="94"/>
      <c r="AR504" s="94"/>
      <c r="AS504" s="94"/>
    </row>
    <row r="505" spans="1: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94"/>
      <c r="AI505" s="94"/>
      <c r="AJ505" s="94"/>
      <c r="AK505" s="94"/>
      <c r="AL505" s="94"/>
      <c r="AM505" s="94"/>
      <c r="AN505" s="94"/>
      <c r="AO505" s="94"/>
      <c r="AP505" s="94"/>
      <c r="AQ505" s="94"/>
      <c r="AR505" s="94"/>
      <c r="AS505" s="94"/>
    </row>
    <row r="506" spans="1: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94"/>
      <c r="AI506" s="94"/>
      <c r="AJ506" s="94"/>
      <c r="AK506" s="94"/>
      <c r="AL506" s="94"/>
      <c r="AM506" s="94"/>
      <c r="AN506" s="94"/>
      <c r="AO506" s="94"/>
      <c r="AP506" s="94"/>
      <c r="AQ506" s="94"/>
      <c r="AR506" s="94"/>
      <c r="AS506" s="94"/>
    </row>
    <row r="507" spans="1: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94"/>
      <c r="AI507" s="94"/>
      <c r="AJ507" s="94"/>
      <c r="AK507" s="94"/>
      <c r="AL507" s="94"/>
      <c r="AM507" s="94"/>
      <c r="AN507" s="94"/>
      <c r="AO507" s="94"/>
      <c r="AP507" s="94"/>
      <c r="AQ507" s="94"/>
      <c r="AR507" s="94"/>
      <c r="AS507" s="94"/>
    </row>
    <row r="508" spans="1: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94"/>
      <c r="AI508" s="94"/>
      <c r="AJ508" s="94"/>
      <c r="AK508" s="94"/>
      <c r="AL508" s="94"/>
      <c r="AM508" s="94"/>
      <c r="AN508" s="94"/>
      <c r="AO508" s="94"/>
      <c r="AP508" s="94"/>
      <c r="AQ508" s="94"/>
      <c r="AR508" s="94"/>
      <c r="AS508" s="94"/>
    </row>
    <row r="509" spans="1: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94"/>
      <c r="AI509" s="94"/>
      <c r="AJ509" s="94"/>
      <c r="AK509" s="94"/>
      <c r="AL509" s="94"/>
      <c r="AM509" s="94"/>
      <c r="AN509" s="94"/>
      <c r="AO509" s="94"/>
      <c r="AP509" s="94"/>
      <c r="AQ509" s="94"/>
      <c r="AR509" s="94"/>
      <c r="AS509" s="94"/>
    </row>
    <row r="510" spans="1: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94"/>
      <c r="AI510" s="94"/>
      <c r="AJ510" s="94"/>
      <c r="AK510" s="94"/>
      <c r="AL510" s="94"/>
      <c r="AM510" s="94"/>
      <c r="AN510" s="94"/>
      <c r="AO510" s="94"/>
      <c r="AP510" s="94"/>
      <c r="AQ510" s="94"/>
      <c r="AR510" s="94"/>
      <c r="AS510" s="94"/>
    </row>
    <row r="511" spans="1: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94"/>
      <c r="AI511" s="94"/>
      <c r="AJ511" s="94"/>
      <c r="AK511" s="94"/>
      <c r="AL511" s="94"/>
      <c r="AM511" s="94"/>
      <c r="AN511" s="94"/>
      <c r="AO511" s="94"/>
      <c r="AP511" s="94"/>
      <c r="AQ511" s="94"/>
      <c r="AR511" s="94"/>
      <c r="AS511" s="94"/>
    </row>
    <row r="512" spans="1: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94"/>
      <c r="AI512" s="94"/>
      <c r="AJ512" s="94"/>
      <c r="AK512" s="94"/>
      <c r="AL512" s="94"/>
      <c r="AM512" s="94"/>
      <c r="AN512" s="94"/>
      <c r="AO512" s="94"/>
      <c r="AP512" s="94"/>
      <c r="AQ512" s="94"/>
      <c r="AR512" s="94"/>
      <c r="AS512" s="94"/>
    </row>
    <row r="513" spans="1: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94"/>
      <c r="AI513" s="94"/>
      <c r="AJ513" s="94"/>
      <c r="AK513" s="94"/>
      <c r="AL513" s="94"/>
      <c r="AM513" s="94"/>
      <c r="AN513" s="94"/>
      <c r="AO513" s="94"/>
      <c r="AP513" s="94"/>
      <c r="AQ513" s="94"/>
      <c r="AR513" s="94"/>
      <c r="AS513" s="94"/>
    </row>
    <row r="514" spans="1: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94"/>
      <c r="AI514" s="94"/>
      <c r="AJ514" s="94"/>
      <c r="AK514" s="94"/>
      <c r="AL514" s="94"/>
      <c r="AM514" s="94"/>
      <c r="AN514" s="94"/>
      <c r="AO514" s="94"/>
      <c r="AP514" s="94"/>
      <c r="AQ514" s="94"/>
      <c r="AR514" s="94"/>
      <c r="AS514" s="94"/>
    </row>
    <row r="515" spans="1: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94"/>
      <c r="AI515" s="94"/>
      <c r="AJ515" s="94"/>
      <c r="AK515" s="94"/>
      <c r="AL515" s="94"/>
      <c r="AM515" s="94"/>
      <c r="AN515" s="94"/>
      <c r="AO515" s="94"/>
      <c r="AP515" s="94"/>
      <c r="AQ515" s="94"/>
      <c r="AR515" s="94"/>
      <c r="AS515" s="94"/>
    </row>
    <row r="516" spans="1: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94"/>
      <c r="AI516" s="94"/>
      <c r="AJ516" s="94"/>
      <c r="AK516" s="94"/>
      <c r="AL516" s="94"/>
      <c r="AM516" s="94"/>
      <c r="AN516" s="94"/>
      <c r="AO516" s="94"/>
      <c r="AP516" s="94"/>
      <c r="AQ516" s="94"/>
      <c r="AR516" s="94"/>
      <c r="AS516" s="94"/>
    </row>
    <row r="517" spans="1: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94"/>
      <c r="AI517" s="94"/>
      <c r="AJ517" s="94"/>
      <c r="AK517" s="94"/>
      <c r="AL517" s="94"/>
      <c r="AM517" s="94"/>
      <c r="AN517" s="94"/>
      <c r="AO517" s="94"/>
      <c r="AP517" s="94"/>
      <c r="AQ517" s="94"/>
      <c r="AR517" s="94"/>
      <c r="AS517" s="94"/>
    </row>
    <row r="518" spans="1: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94"/>
      <c r="AI518" s="94"/>
      <c r="AJ518" s="94"/>
      <c r="AK518" s="94"/>
      <c r="AL518" s="94"/>
      <c r="AM518" s="94"/>
      <c r="AN518" s="94"/>
      <c r="AO518" s="94"/>
      <c r="AP518" s="94"/>
      <c r="AQ518" s="94"/>
      <c r="AR518" s="94"/>
      <c r="AS518" s="94"/>
    </row>
    <row r="519" spans="1: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94"/>
      <c r="AI519" s="94"/>
      <c r="AJ519" s="94"/>
      <c r="AK519" s="94"/>
      <c r="AL519" s="94"/>
      <c r="AM519" s="94"/>
      <c r="AN519" s="94"/>
      <c r="AO519" s="94"/>
      <c r="AP519" s="94"/>
      <c r="AQ519" s="94"/>
      <c r="AR519" s="94"/>
      <c r="AS519" s="94"/>
    </row>
    <row r="520" spans="1: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94"/>
      <c r="AI520" s="94"/>
      <c r="AJ520" s="94"/>
      <c r="AK520" s="94"/>
      <c r="AL520" s="94"/>
      <c r="AM520" s="94"/>
      <c r="AN520" s="94"/>
      <c r="AO520" s="94"/>
      <c r="AP520" s="94"/>
      <c r="AQ520" s="94"/>
      <c r="AR520" s="94"/>
      <c r="AS520" s="94"/>
    </row>
    <row r="521" spans="1: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94"/>
      <c r="AI521" s="94"/>
      <c r="AJ521" s="94"/>
      <c r="AK521" s="94"/>
      <c r="AL521" s="94"/>
      <c r="AM521" s="94"/>
      <c r="AN521" s="94"/>
      <c r="AO521" s="94"/>
      <c r="AP521" s="94"/>
      <c r="AQ521" s="94"/>
      <c r="AR521" s="94"/>
      <c r="AS521" s="94"/>
    </row>
    <row r="522" spans="1: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94"/>
      <c r="AI522" s="94"/>
      <c r="AJ522" s="94"/>
      <c r="AK522" s="94"/>
      <c r="AL522" s="94"/>
      <c r="AM522" s="94"/>
      <c r="AN522" s="94"/>
      <c r="AO522" s="94"/>
      <c r="AP522" s="94"/>
      <c r="AQ522" s="94"/>
      <c r="AR522" s="94"/>
      <c r="AS522" s="94"/>
    </row>
    <row r="523" spans="1: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94"/>
      <c r="AI523" s="94"/>
      <c r="AJ523" s="94"/>
      <c r="AK523" s="94"/>
      <c r="AL523" s="94"/>
      <c r="AM523" s="94"/>
      <c r="AN523" s="94"/>
      <c r="AO523" s="94"/>
      <c r="AP523" s="94"/>
      <c r="AQ523" s="94"/>
      <c r="AR523" s="94"/>
      <c r="AS523" s="94"/>
    </row>
    <row r="524" spans="1: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94"/>
      <c r="AI524" s="94"/>
      <c r="AJ524" s="94"/>
      <c r="AK524" s="94"/>
      <c r="AL524" s="94"/>
      <c r="AM524" s="94"/>
      <c r="AN524" s="94"/>
      <c r="AO524" s="94"/>
      <c r="AP524" s="94"/>
      <c r="AQ524" s="94"/>
      <c r="AR524" s="94"/>
      <c r="AS524" s="94"/>
    </row>
    <row r="525" spans="1: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94"/>
      <c r="AI525" s="94"/>
      <c r="AJ525" s="94"/>
      <c r="AK525" s="94"/>
      <c r="AL525" s="94"/>
      <c r="AM525" s="94"/>
      <c r="AN525" s="94"/>
      <c r="AO525" s="94"/>
      <c r="AP525" s="94"/>
      <c r="AQ525" s="94"/>
      <c r="AR525" s="94"/>
      <c r="AS525" s="94"/>
    </row>
    <row r="526" spans="1: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94"/>
      <c r="AI526" s="94"/>
      <c r="AJ526" s="94"/>
      <c r="AK526" s="94"/>
      <c r="AL526" s="94"/>
      <c r="AM526" s="94"/>
      <c r="AN526" s="94"/>
      <c r="AO526" s="94"/>
      <c r="AP526" s="94"/>
      <c r="AQ526" s="94"/>
      <c r="AR526" s="94"/>
      <c r="AS526" s="94"/>
    </row>
    <row r="527" spans="1: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94"/>
      <c r="AI527" s="94"/>
      <c r="AJ527" s="94"/>
      <c r="AK527" s="94"/>
      <c r="AL527" s="94"/>
      <c r="AM527" s="94"/>
      <c r="AN527" s="94"/>
      <c r="AO527" s="94"/>
      <c r="AP527" s="94"/>
      <c r="AQ527" s="94"/>
      <c r="AR527" s="94"/>
      <c r="AS527" s="94"/>
    </row>
    <row r="528" spans="1: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94"/>
      <c r="AI528" s="94"/>
      <c r="AJ528" s="94"/>
      <c r="AK528" s="94"/>
      <c r="AL528" s="94"/>
      <c r="AM528" s="94"/>
      <c r="AN528" s="94"/>
      <c r="AO528" s="94"/>
      <c r="AP528" s="94"/>
      <c r="AQ528" s="94"/>
      <c r="AR528" s="94"/>
      <c r="AS528" s="94"/>
    </row>
    <row r="529" spans="1: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94"/>
      <c r="AI529" s="94"/>
      <c r="AJ529" s="94"/>
      <c r="AK529" s="94"/>
      <c r="AL529" s="94"/>
      <c r="AM529" s="94"/>
      <c r="AN529" s="94"/>
      <c r="AO529" s="94"/>
      <c r="AP529" s="94"/>
      <c r="AQ529" s="94"/>
      <c r="AR529" s="94"/>
      <c r="AS529" s="94"/>
    </row>
    <row r="530" spans="1: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94"/>
      <c r="AI530" s="94"/>
      <c r="AJ530" s="94"/>
      <c r="AK530" s="94"/>
      <c r="AL530" s="94"/>
      <c r="AM530" s="94"/>
      <c r="AN530" s="94"/>
      <c r="AO530" s="94"/>
      <c r="AP530" s="94"/>
      <c r="AQ530" s="94"/>
      <c r="AR530" s="94"/>
      <c r="AS530" s="94"/>
    </row>
    <row r="531" spans="1: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94"/>
      <c r="AI531" s="94"/>
      <c r="AJ531" s="94"/>
      <c r="AK531" s="94"/>
      <c r="AL531" s="94"/>
      <c r="AM531" s="94"/>
      <c r="AN531" s="94"/>
      <c r="AO531" s="94"/>
      <c r="AP531" s="94"/>
      <c r="AQ531" s="94"/>
      <c r="AR531" s="94"/>
      <c r="AS531" s="94"/>
    </row>
    <row r="532" spans="1: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94"/>
      <c r="AI532" s="94"/>
      <c r="AJ532" s="94"/>
      <c r="AK532" s="94"/>
      <c r="AL532" s="94"/>
      <c r="AM532" s="94"/>
      <c r="AN532" s="94"/>
      <c r="AO532" s="94"/>
      <c r="AP532" s="94"/>
      <c r="AQ532" s="94"/>
      <c r="AR532" s="94"/>
      <c r="AS532" s="94"/>
    </row>
    <row r="533" spans="1: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94"/>
      <c r="AI533" s="94"/>
      <c r="AJ533" s="94"/>
      <c r="AK533" s="94"/>
      <c r="AL533" s="94"/>
      <c r="AM533" s="94"/>
      <c r="AN533" s="94"/>
      <c r="AO533" s="94"/>
      <c r="AP533" s="94"/>
      <c r="AQ533" s="94"/>
      <c r="AR533" s="94"/>
      <c r="AS533" s="94"/>
    </row>
    <row r="534" spans="1: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94"/>
      <c r="AI534" s="94"/>
      <c r="AJ534" s="94"/>
      <c r="AK534" s="94"/>
      <c r="AL534" s="94"/>
      <c r="AM534" s="94"/>
      <c r="AN534" s="94"/>
      <c r="AO534" s="94"/>
      <c r="AP534" s="94"/>
      <c r="AQ534" s="94"/>
      <c r="AR534" s="94"/>
      <c r="AS534" s="94"/>
    </row>
    <row r="535" spans="1: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94"/>
      <c r="AI535" s="94"/>
      <c r="AJ535" s="94"/>
      <c r="AK535" s="94"/>
      <c r="AL535" s="94"/>
      <c r="AM535" s="94"/>
      <c r="AN535" s="94"/>
      <c r="AO535" s="94"/>
      <c r="AP535" s="94"/>
      <c r="AQ535" s="94"/>
      <c r="AR535" s="94"/>
      <c r="AS535" s="94"/>
    </row>
    <row r="536" spans="1: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94"/>
      <c r="AI536" s="94"/>
      <c r="AJ536" s="94"/>
      <c r="AK536" s="94"/>
      <c r="AL536" s="94"/>
      <c r="AM536" s="94"/>
      <c r="AN536" s="94"/>
      <c r="AO536" s="94"/>
      <c r="AP536" s="94"/>
      <c r="AQ536" s="94"/>
      <c r="AR536" s="94"/>
      <c r="AS536" s="94"/>
    </row>
    <row r="537" spans="1: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94"/>
      <c r="AI537" s="94"/>
      <c r="AJ537" s="94"/>
      <c r="AK537" s="94"/>
      <c r="AL537" s="94"/>
      <c r="AM537" s="94"/>
      <c r="AN537" s="94"/>
      <c r="AO537" s="94"/>
      <c r="AP537" s="94"/>
      <c r="AQ537" s="94"/>
      <c r="AR537" s="94"/>
      <c r="AS537" s="94"/>
    </row>
    <row r="538" spans="1: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94"/>
      <c r="AI538" s="94"/>
      <c r="AJ538" s="94"/>
      <c r="AK538" s="94"/>
      <c r="AL538" s="94"/>
      <c r="AM538" s="94"/>
      <c r="AN538" s="94"/>
      <c r="AO538" s="94"/>
      <c r="AP538" s="94"/>
      <c r="AQ538" s="94"/>
      <c r="AR538" s="94"/>
      <c r="AS538" s="94"/>
    </row>
    <row r="539" spans="1: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94"/>
      <c r="AI539" s="94"/>
      <c r="AJ539" s="94"/>
      <c r="AK539" s="94"/>
      <c r="AL539" s="94"/>
      <c r="AM539" s="94"/>
      <c r="AN539" s="94"/>
      <c r="AO539" s="94"/>
      <c r="AP539" s="94"/>
      <c r="AQ539" s="94"/>
      <c r="AR539" s="94"/>
      <c r="AS539" s="94"/>
    </row>
    <row r="540" spans="1: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94"/>
      <c r="AI540" s="94"/>
      <c r="AJ540" s="94"/>
      <c r="AK540" s="94"/>
      <c r="AL540" s="94"/>
      <c r="AM540" s="94"/>
      <c r="AN540" s="94"/>
      <c r="AO540" s="94"/>
      <c r="AP540" s="94"/>
      <c r="AQ540" s="94"/>
      <c r="AR540" s="94"/>
      <c r="AS540" s="94"/>
    </row>
    <row r="541" spans="1: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94"/>
      <c r="AI541" s="94"/>
      <c r="AJ541" s="94"/>
      <c r="AK541" s="94"/>
      <c r="AL541" s="94"/>
      <c r="AM541" s="94"/>
      <c r="AN541" s="94"/>
      <c r="AO541" s="94"/>
      <c r="AP541" s="94"/>
      <c r="AQ541" s="94"/>
      <c r="AR541" s="94"/>
      <c r="AS541" s="94"/>
    </row>
    <row r="542" spans="1: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94"/>
      <c r="AI542" s="94"/>
      <c r="AJ542" s="94"/>
      <c r="AK542" s="94"/>
      <c r="AL542" s="94"/>
      <c r="AM542" s="94"/>
      <c r="AN542" s="94"/>
      <c r="AO542" s="94"/>
      <c r="AP542" s="94"/>
      <c r="AQ542" s="94"/>
      <c r="AR542" s="94"/>
      <c r="AS542" s="94"/>
    </row>
    <row r="543" spans="1: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94"/>
      <c r="AI543" s="94"/>
      <c r="AJ543" s="94"/>
      <c r="AK543" s="94"/>
      <c r="AL543" s="94"/>
      <c r="AM543" s="94"/>
      <c r="AN543" s="94"/>
      <c r="AO543" s="94"/>
      <c r="AP543" s="94"/>
      <c r="AQ543" s="94"/>
      <c r="AR543" s="94"/>
      <c r="AS543" s="94"/>
    </row>
    <row r="544" spans="1: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94"/>
      <c r="AI544" s="94"/>
      <c r="AJ544" s="94"/>
      <c r="AK544" s="94"/>
      <c r="AL544" s="94"/>
      <c r="AM544" s="94"/>
      <c r="AN544" s="94"/>
      <c r="AO544" s="94"/>
      <c r="AP544" s="94"/>
      <c r="AQ544" s="94"/>
      <c r="AR544" s="94"/>
      <c r="AS544" s="94"/>
    </row>
    <row r="545" spans="1: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94"/>
      <c r="AI545" s="94"/>
      <c r="AJ545" s="94"/>
      <c r="AK545" s="94"/>
      <c r="AL545" s="94"/>
      <c r="AM545" s="94"/>
      <c r="AN545" s="94"/>
      <c r="AO545" s="94"/>
      <c r="AP545" s="94"/>
      <c r="AQ545" s="94"/>
      <c r="AR545" s="94"/>
      <c r="AS545" s="94"/>
    </row>
    <row r="546" spans="1: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94"/>
      <c r="AI546" s="94"/>
      <c r="AJ546" s="94"/>
      <c r="AK546" s="94"/>
      <c r="AL546" s="94"/>
      <c r="AM546" s="94"/>
      <c r="AN546" s="94"/>
      <c r="AO546" s="94"/>
      <c r="AP546" s="94"/>
      <c r="AQ546" s="94"/>
      <c r="AR546" s="94"/>
      <c r="AS546" s="94"/>
    </row>
    <row r="547" spans="1: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94"/>
      <c r="AI547" s="94"/>
      <c r="AJ547" s="94"/>
      <c r="AK547" s="94"/>
      <c r="AL547" s="94"/>
      <c r="AM547" s="94"/>
      <c r="AN547" s="94"/>
      <c r="AO547" s="94"/>
      <c r="AP547" s="94"/>
      <c r="AQ547" s="94"/>
      <c r="AR547" s="94"/>
      <c r="AS547" s="94"/>
    </row>
    <row r="548" spans="1: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94"/>
      <c r="AI548" s="94"/>
      <c r="AJ548" s="94"/>
      <c r="AK548" s="94"/>
      <c r="AL548" s="94"/>
      <c r="AM548" s="94"/>
      <c r="AN548" s="94"/>
      <c r="AO548" s="94"/>
      <c r="AP548" s="94"/>
      <c r="AQ548" s="94"/>
      <c r="AR548" s="94"/>
      <c r="AS548" s="94"/>
    </row>
    <row r="549" spans="1: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94"/>
      <c r="AI549" s="94"/>
      <c r="AJ549" s="94"/>
      <c r="AK549" s="94"/>
      <c r="AL549" s="94"/>
      <c r="AM549" s="94"/>
      <c r="AN549" s="94"/>
      <c r="AO549" s="94"/>
      <c r="AP549" s="94"/>
      <c r="AQ549" s="94"/>
      <c r="AR549" s="94"/>
      <c r="AS549" s="94"/>
    </row>
    <row r="550" spans="1: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94"/>
      <c r="AI550" s="94"/>
      <c r="AJ550" s="94"/>
      <c r="AK550" s="94"/>
      <c r="AL550" s="94"/>
      <c r="AM550" s="94"/>
      <c r="AN550" s="94"/>
      <c r="AO550" s="94"/>
      <c r="AP550" s="94"/>
      <c r="AQ550" s="94"/>
      <c r="AR550" s="94"/>
      <c r="AS550" s="94"/>
    </row>
    <row r="551" spans="1: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94"/>
      <c r="AI551" s="94"/>
      <c r="AJ551" s="94"/>
      <c r="AK551" s="94"/>
      <c r="AL551" s="94"/>
      <c r="AM551" s="94"/>
      <c r="AN551" s="94"/>
      <c r="AO551" s="94"/>
      <c r="AP551" s="94"/>
      <c r="AQ551" s="94"/>
      <c r="AR551" s="94"/>
      <c r="AS551" s="94"/>
    </row>
    <row r="552" spans="1: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94"/>
      <c r="AI552" s="94"/>
      <c r="AJ552" s="94"/>
      <c r="AK552" s="94"/>
      <c r="AL552" s="94"/>
      <c r="AM552" s="94"/>
      <c r="AN552" s="94"/>
      <c r="AO552" s="94"/>
      <c r="AP552" s="94"/>
      <c r="AQ552" s="94"/>
      <c r="AR552" s="94"/>
      <c r="AS552" s="94"/>
    </row>
    <row r="553" spans="1: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94"/>
      <c r="AI553" s="94"/>
      <c r="AJ553" s="94"/>
      <c r="AK553" s="94"/>
      <c r="AL553" s="94"/>
      <c r="AM553" s="94"/>
      <c r="AN553" s="94"/>
      <c r="AO553" s="94"/>
      <c r="AP553" s="94"/>
      <c r="AQ553" s="94"/>
      <c r="AR553" s="94"/>
      <c r="AS553" s="94"/>
    </row>
    <row r="554" spans="1: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94"/>
      <c r="AI554" s="94"/>
      <c r="AJ554" s="94"/>
      <c r="AK554" s="94"/>
      <c r="AL554" s="94"/>
      <c r="AM554" s="94"/>
      <c r="AN554" s="94"/>
      <c r="AO554" s="94"/>
      <c r="AP554" s="94"/>
      <c r="AQ554" s="94"/>
      <c r="AR554" s="94"/>
      <c r="AS554" s="94"/>
    </row>
    <row r="555" spans="1: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94"/>
      <c r="AI555" s="94"/>
      <c r="AJ555" s="94"/>
      <c r="AK555" s="94"/>
      <c r="AL555" s="94"/>
      <c r="AM555" s="94"/>
      <c r="AN555" s="94"/>
      <c r="AO555" s="94"/>
      <c r="AP555" s="94"/>
      <c r="AQ555" s="94"/>
      <c r="AR555" s="94"/>
      <c r="AS555" s="94"/>
    </row>
    <row r="556" spans="1: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94"/>
      <c r="AI556" s="94"/>
      <c r="AJ556" s="94"/>
      <c r="AK556" s="94"/>
      <c r="AL556" s="94"/>
      <c r="AM556" s="94"/>
      <c r="AN556" s="94"/>
      <c r="AO556" s="94"/>
      <c r="AP556" s="94"/>
      <c r="AQ556" s="94"/>
      <c r="AR556" s="94"/>
      <c r="AS556" s="94"/>
    </row>
    <row r="557" spans="1: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94"/>
      <c r="AI557" s="94"/>
      <c r="AJ557" s="94"/>
      <c r="AK557" s="94"/>
      <c r="AL557" s="94"/>
      <c r="AM557" s="94"/>
      <c r="AN557" s="94"/>
      <c r="AO557" s="94"/>
      <c r="AP557" s="94"/>
      <c r="AQ557" s="94"/>
      <c r="AR557" s="94"/>
      <c r="AS557" s="94"/>
    </row>
    <row r="558" spans="1: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94"/>
      <c r="AI558" s="94"/>
      <c r="AJ558" s="94"/>
      <c r="AK558" s="94"/>
      <c r="AL558" s="94"/>
      <c r="AM558" s="94"/>
      <c r="AN558" s="94"/>
      <c r="AO558" s="94"/>
      <c r="AP558" s="94"/>
      <c r="AQ558" s="94"/>
      <c r="AR558" s="94"/>
      <c r="AS558" s="94"/>
    </row>
    <row r="559" spans="1: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94"/>
      <c r="AI559" s="94"/>
      <c r="AJ559" s="94"/>
      <c r="AK559" s="94"/>
      <c r="AL559" s="94"/>
      <c r="AM559" s="94"/>
      <c r="AN559" s="94"/>
      <c r="AO559" s="94"/>
      <c r="AP559" s="94"/>
      <c r="AQ559" s="94"/>
      <c r="AR559" s="94"/>
      <c r="AS559" s="94"/>
    </row>
    <row r="560" spans="1: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94"/>
      <c r="AI560" s="94"/>
      <c r="AJ560" s="94"/>
      <c r="AK560" s="94"/>
      <c r="AL560" s="94"/>
      <c r="AM560" s="94"/>
      <c r="AN560" s="94"/>
      <c r="AO560" s="94"/>
      <c r="AP560" s="94"/>
      <c r="AQ560" s="94"/>
      <c r="AR560" s="94"/>
      <c r="AS560" s="94"/>
    </row>
    <row r="561" spans="1: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94"/>
      <c r="AI561" s="94"/>
      <c r="AJ561" s="94"/>
      <c r="AK561" s="94"/>
      <c r="AL561" s="94"/>
      <c r="AM561" s="94"/>
      <c r="AN561" s="94"/>
      <c r="AO561" s="94"/>
      <c r="AP561" s="94"/>
      <c r="AQ561" s="94"/>
      <c r="AR561" s="94"/>
      <c r="AS561" s="94"/>
    </row>
    <row r="562" spans="1: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94"/>
      <c r="AI562" s="94"/>
      <c r="AJ562" s="94"/>
      <c r="AK562" s="94"/>
      <c r="AL562" s="94"/>
      <c r="AM562" s="94"/>
      <c r="AN562" s="94"/>
      <c r="AO562" s="94"/>
      <c r="AP562" s="94"/>
      <c r="AQ562" s="94"/>
      <c r="AR562" s="94"/>
      <c r="AS562" s="94"/>
    </row>
    <row r="563" spans="1: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94"/>
      <c r="AI563" s="94"/>
      <c r="AJ563" s="94"/>
      <c r="AK563" s="94"/>
      <c r="AL563" s="94"/>
      <c r="AM563" s="94"/>
      <c r="AN563" s="94"/>
      <c r="AO563" s="94"/>
      <c r="AP563" s="94"/>
      <c r="AQ563" s="94"/>
      <c r="AR563" s="94"/>
      <c r="AS563" s="94"/>
    </row>
    <row r="564" spans="1: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94"/>
      <c r="AI564" s="94"/>
      <c r="AJ564" s="94"/>
      <c r="AK564" s="94"/>
      <c r="AL564" s="94"/>
      <c r="AM564" s="94"/>
      <c r="AN564" s="94"/>
      <c r="AO564" s="94"/>
      <c r="AP564" s="94"/>
      <c r="AQ564" s="94"/>
      <c r="AR564" s="94"/>
      <c r="AS564" s="94"/>
    </row>
    <row r="565" spans="1: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94"/>
      <c r="AI565" s="94"/>
      <c r="AJ565" s="94"/>
      <c r="AK565" s="94"/>
      <c r="AL565" s="94"/>
      <c r="AM565" s="94"/>
      <c r="AN565" s="94"/>
      <c r="AO565" s="94"/>
      <c r="AP565" s="94"/>
      <c r="AQ565" s="94"/>
      <c r="AR565" s="94"/>
      <c r="AS565" s="94"/>
    </row>
    <row r="566" spans="1: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94"/>
      <c r="AI566" s="94"/>
      <c r="AJ566" s="94"/>
      <c r="AK566" s="94"/>
      <c r="AL566" s="94"/>
      <c r="AM566" s="94"/>
      <c r="AN566" s="94"/>
      <c r="AO566" s="94"/>
      <c r="AP566" s="94"/>
      <c r="AQ566" s="94"/>
      <c r="AR566" s="94"/>
      <c r="AS566" s="94"/>
    </row>
    <row r="567" spans="1: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94"/>
      <c r="AI567" s="94"/>
      <c r="AJ567" s="94"/>
      <c r="AK567" s="94"/>
      <c r="AL567" s="94"/>
      <c r="AM567" s="94"/>
      <c r="AN567" s="94"/>
      <c r="AO567" s="94"/>
      <c r="AP567" s="94"/>
      <c r="AQ567" s="94"/>
      <c r="AR567" s="94"/>
      <c r="AS567" s="94"/>
    </row>
    <row r="568" spans="1: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94"/>
      <c r="AI568" s="94"/>
      <c r="AJ568" s="94"/>
      <c r="AK568" s="94"/>
      <c r="AL568" s="94"/>
      <c r="AM568" s="94"/>
      <c r="AN568" s="94"/>
      <c r="AO568" s="94"/>
      <c r="AP568" s="94"/>
      <c r="AQ568" s="94"/>
      <c r="AR568" s="94"/>
      <c r="AS568" s="94"/>
    </row>
    <row r="569" spans="1: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94"/>
      <c r="AI569" s="94"/>
      <c r="AJ569" s="94"/>
      <c r="AK569" s="94"/>
      <c r="AL569" s="94"/>
      <c r="AM569" s="94"/>
      <c r="AN569" s="94"/>
      <c r="AO569" s="94"/>
      <c r="AP569" s="94"/>
      <c r="AQ569" s="94"/>
      <c r="AR569" s="94"/>
      <c r="AS569" s="94"/>
    </row>
    <row r="570" spans="1: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94"/>
      <c r="AI570" s="94"/>
      <c r="AJ570" s="94"/>
      <c r="AK570" s="94"/>
      <c r="AL570" s="94"/>
      <c r="AM570" s="94"/>
      <c r="AN570" s="94"/>
      <c r="AO570" s="94"/>
      <c r="AP570" s="94"/>
      <c r="AQ570" s="94"/>
      <c r="AR570" s="94"/>
      <c r="AS570" s="94"/>
    </row>
    <row r="571" spans="1: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94"/>
      <c r="AI571" s="94"/>
      <c r="AJ571" s="94"/>
      <c r="AK571" s="94"/>
      <c r="AL571" s="94"/>
      <c r="AM571" s="94"/>
      <c r="AN571" s="94"/>
      <c r="AO571" s="94"/>
      <c r="AP571" s="94"/>
      <c r="AQ571" s="94"/>
      <c r="AR571" s="94"/>
      <c r="AS571" s="94"/>
    </row>
    <row r="572" spans="1: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94"/>
      <c r="AI572" s="94"/>
      <c r="AJ572" s="94"/>
      <c r="AK572" s="94"/>
      <c r="AL572" s="94"/>
      <c r="AM572" s="94"/>
      <c r="AN572" s="94"/>
      <c r="AO572" s="94"/>
      <c r="AP572" s="94"/>
      <c r="AQ572" s="94"/>
      <c r="AR572" s="94"/>
      <c r="AS572" s="94"/>
    </row>
    <row r="573" spans="1: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94"/>
      <c r="AI573" s="94"/>
      <c r="AJ573" s="94"/>
      <c r="AK573" s="94"/>
      <c r="AL573" s="94"/>
      <c r="AM573" s="94"/>
      <c r="AN573" s="94"/>
      <c r="AO573" s="94"/>
      <c r="AP573" s="94"/>
      <c r="AQ573" s="94"/>
      <c r="AR573" s="94"/>
      <c r="AS573" s="94"/>
    </row>
    <row r="574" spans="1: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94"/>
      <c r="AI574" s="94"/>
      <c r="AJ574" s="94"/>
      <c r="AK574" s="94"/>
      <c r="AL574" s="94"/>
      <c r="AM574" s="94"/>
      <c r="AN574" s="94"/>
      <c r="AO574" s="94"/>
      <c r="AP574" s="94"/>
      <c r="AQ574" s="94"/>
      <c r="AR574" s="94"/>
      <c r="AS574" s="94"/>
    </row>
    <row r="575" spans="1: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94"/>
      <c r="AI575" s="94"/>
      <c r="AJ575" s="94"/>
      <c r="AK575" s="94"/>
      <c r="AL575" s="94"/>
      <c r="AM575" s="94"/>
      <c r="AN575" s="94"/>
      <c r="AO575" s="94"/>
      <c r="AP575" s="94"/>
      <c r="AQ575" s="94"/>
      <c r="AR575" s="94"/>
      <c r="AS575" s="94"/>
    </row>
    <row r="576" spans="1: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94"/>
      <c r="AI576" s="94"/>
      <c r="AJ576" s="94"/>
      <c r="AK576" s="94"/>
      <c r="AL576" s="94"/>
      <c r="AM576" s="94"/>
      <c r="AN576" s="94"/>
      <c r="AO576" s="94"/>
      <c r="AP576" s="94"/>
      <c r="AQ576" s="94"/>
      <c r="AR576" s="94"/>
      <c r="AS576" s="94"/>
    </row>
    <row r="577" spans="1: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94"/>
      <c r="AI577" s="94"/>
      <c r="AJ577" s="94"/>
      <c r="AK577" s="94"/>
      <c r="AL577" s="94"/>
      <c r="AM577" s="94"/>
      <c r="AN577" s="94"/>
      <c r="AO577" s="94"/>
      <c r="AP577" s="94"/>
      <c r="AQ577" s="94"/>
      <c r="AR577" s="94"/>
      <c r="AS577" s="94"/>
    </row>
    <row r="578" spans="1: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94"/>
      <c r="AI578" s="94"/>
      <c r="AJ578" s="94"/>
      <c r="AK578" s="94"/>
      <c r="AL578" s="94"/>
      <c r="AM578" s="94"/>
      <c r="AN578" s="94"/>
      <c r="AO578" s="94"/>
      <c r="AP578" s="94"/>
      <c r="AQ578" s="94"/>
      <c r="AR578" s="94"/>
      <c r="AS578" s="94"/>
    </row>
    <row r="579" spans="1: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94"/>
      <c r="AI579" s="94"/>
      <c r="AJ579" s="94"/>
      <c r="AK579" s="94"/>
      <c r="AL579" s="94"/>
      <c r="AM579" s="94"/>
      <c r="AN579" s="94"/>
      <c r="AO579" s="94"/>
      <c r="AP579" s="94"/>
      <c r="AQ579" s="94"/>
      <c r="AR579" s="94"/>
      <c r="AS579" s="94"/>
    </row>
    <row r="580" spans="1: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94"/>
      <c r="AI580" s="94"/>
      <c r="AJ580" s="94"/>
      <c r="AK580" s="94"/>
      <c r="AL580" s="94"/>
      <c r="AM580" s="94"/>
      <c r="AN580" s="94"/>
      <c r="AO580" s="94"/>
      <c r="AP580" s="94"/>
      <c r="AQ580" s="94"/>
      <c r="AR580" s="94"/>
      <c r="AS580" s="94"/>
    </row>
    <row r="581" spans="1: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94"/>
      <c r="AI581" s="94"/>
      <c r="AJ581" s="94"/>
      <c r="AK581" s="94"/>
      <c r="AL581" s="94"/>
      <c r="AM581" s="94"/>
      <c r="AN581" s="94"/>
      <c r="AO581" s="94"/>
      <c r="AP581" s="94"/>
      <c r="AQ581" s="94"/>
      <c r="AR581" s="94"/>
      <c r="AS581" s="94"/>
    </row>
    <row r="582" spans="1: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94"/>
      <c r="AI582" s="94"/>
      <c r="AJ582" s="94"/>
      <c r="AK582" s="94"/>
      <c r="AL582" s="94"/>
      <c r="AM582" s="94"/>
      <c r="AN582" s="94"/>
      <c r="AO582" s="94"/>
      <c r="AP582" s="94"/>
      <c r="AQ582" s="94"/>
      <c r="AR582" s="94"/>
      <c r="AS582" s="94"/>
    </row>
    <row r="583" spans="1: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94"/>
      <c r="AI583" s="94"/>
      <c r="AJ583" s="94"/>
      <c r="AK583" s="94"/>
      <c r="AL583" s="94"/>
      <c r="AM583" s="94"/>
      <c r="AN583" s="94"/>
      <c r="AO583" s="94"/>
      <c r="AP583" s="94"/>
      <c r="AQ583" s="94"/>
      <c r="AR583" s="94"/>
      <c r="AS583" s="94"/>
    </row>
    <row r="584" spans="1: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94"/>
      <c r="AI584" s="94"/>
      <c r="AJ584" s="94"/>
      <c r="AK584" s="94"/>
      <c r="AL584" s="94"/>
      <c r="AM584" s="94"/>
      <c r="AN584" s="94"/>
      <c r="AO584" s="94"/>
      <c r="AP584" s="94"/>
      <c r="AQ584" s="94"/>
      <c r="AR584" s="94"/>
      <c r="AS584" s="94"/>
    </row>
    <row r="585" spans="1: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94"/>
      <c r="AI585" s="94"/>
      <c r="AJ585" s="94"/>
      <c r="AK585" s="94"/>
      <c r="AL585" s="94"/>
      <c r="AM585" s="94"/>
      <c r="AN585" s="94"/>
      <c r="AO585" s="94"/>
      <c r="AP585" s="94"/>
      <c r="AQ585" s="94"/>
      <c r="AR585" s="94"/>
      <c r="AS585" s="94"/>
    </row>
    <row r="586" spans="1: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94"/>
      <c r="AI586" s="94"/>
      <c r="AJ586" s="94"/>
      <c r="AK586" s="94"/>
      <c r="AL586" s="94"/>
      <c r="AM586" s="94"/>
      <c r="AN586" s="94"/>
      <c r="AO586" s="94"/>
      <c r="AP586" s="94"/>
      <c r="AQ586" s="94"/>
      <c r="AR586" s="94"/>
      <c r="AS586" s="94"/>
    </row>
    <row r="587" spans="1: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94"/>
      <c r="AI587" s="94"/>
      <c r="AJ587" s="94"/>
      <c r="AK587" s="94"/>
      <c r="AL587" s="94"/>
      <c r="AM587" s="94"/>
      <c r="AN587" s="94"/>
      <c r="AO587" s="94"/>
      <c r="AP587" s="94"/>
      <c r="AQ587" s="94"/>
      <c r="AR587" s="94"/>
      <c r="AS587" s="94"/>
    </row>
    <row r="588" spans="1: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94"/>
      <c r="AI588" s="94"/>
      <c r="AJ588" s="94"/>
      <c r="AK588" s="94"/>
      <c r="AL588" s="94"/>
      <c r="AM588" s="94"/>
      <c r="AN588" s="94"/>
      <c r="AO588" s="94"/>
      <c r="AP588" s="94"/>
      <c r="AQ588" s="94"/>
      <c r="AR588" s="94"/>
      <c r="AS588" s="94"/>
    </row>
    <row r="589" spans="1: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94"/>
      <c r="AI589" s="94"/>
      <c r="AJ589" s="94"/>
      <c r="AK589" s="94"/>
      <c r="AL589" s="94"/>
      <c r="AM589" s="94"/>
      <c r="AN589" s="94"/>
      <c r="AO589" s="94"/>
      <c r="AP589" s="94"/>
      <c r="AQ589" s="94"/>
      <c r="AR589" s="94"/>
      <c r="AS589" s="94"/>
    </row>
    <row r="590" spans="1: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94"/>
      <c r="AI590" s="94"/>
      <c r="AJ590" s="94"/>
      <c r="AK590" s="94"/>
      <c r="AL590" s="94"/>
      <c r="AM590" s="94"/>
      <c r="AN590" s="94"/>
      <c r="AO590" s="94"/>
      <c r="AP590" s="94"/>
      <c r="AQ590" s="94"/>
      <c r="AR590" s="94"/>
      <c r="AS590" s="94"/>
    </row>
    <row r="591" spans="1: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94"/>
      <c r="AI591" s="94"/>
      <c r="AJ591" s="94"/>
      <c r="AK591" s="94"/>
      <c r="AL591" s="94"/>
      <c r="AM591" s="94"/>
      <c r="AN591" s="94"/>
      <c r="AO591" s="94"/>
      <c r="AP591" s="94"/>
      <c r="AQ591" s="94"/>
      <c r="AR591" s="94"/>
      <c r="AS591" s="94"/>
    </row>
    <row r="592" spans="1: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94"/>
      <c r="AI592" s="94"/>
      <c r="AJ592" s="94"/>
      <c r="AK592" s="94"/>
      <c r="AL592" s="94"/>
      <c r="AM592" s="94"/>
      <c r="AN592" s="94"/>
      <c r="AO592" s="94"/>
      <c r="AP592" s="94"/>
      <c r="AQ592" s="94"/>
      <c r="AR592" s="94"/>
      <c r="AS592" s="94"/>
    </row>
    <row r="593" spans="1: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94"/>
      <c r="AI593" s="94"/>
      <c r="AJ593" s="94"/>
      <c r="AK593" s="94"/>
      <c r="AL593" s="94"/>
      <c r="AM593" s="94"/>
      <c r="AN593" s="94"/>
      <c r="AO593" s="94"/>
      <c r="AP593" s="94"/>
      <c r="AQ593" s="94"/>
      <c r="AR593" s="94"/>
      <c r="AS593" s="94"/>
    </row>
    <row r="594" spans="1: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94"/>
      <c r="AI594" s="94"/>
      <c r="AJ594" s="94"/>
      <c r="AK594" s="94"/>
      <c r="AL594" s="94"/>
      <c r="AM594" s="94"/>
      <c r="AN594" s="94"/>
      <c r="AO594" s="94"/>
      <c r="AP594" s="94"/>
      <c r="AQ594" s="94"/>
      <c r="AR594" s="94"/>
      <c r="AS594" s="94"/>
    </row>
    <row r="595" spans="1: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94"/>
      <c r="AI595" s="94"/>
      <c r="AJ595" s="94"/>
      <c r="AK595" s="94"/>
      <c r="AL595" s="94"/>
      <c r="AM595" s="94"/>
      <c r="AN595" s="94"/>
      <c r="AO595" s="94"/>
      <c r="AP595" s="94"/>
      <c r="AQ595" s="94"/>
      <c r="AR595" s="94"/>
      <c r="AS595" s="94"/>
    </row>
    <row r="596" spans="1: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94"/>
      <c r="AI596" s="94"/>
      <c r="AJ596" s="94"/>
      <c r="AK596" s="94"/>
      <c r="AL596" s="94"/>
      <c r="AM596" s="94"/>
      <c r="AN596" s="94"/>
      <c r="AO596" s="94"/>
      <c r="AP596" s="94"/>
      <c r="AQ596" s="94"/>
      <c r="AR596" s="94"/>
      <c r="AS596" s="94"/>
    </row>
    <row r="597" spans="1: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94"/>
      <c r="AI597" s="94"/>
      <c r="AJ597" s="94"/>
      <c r="AK597" s="94"/>
      <c r="AL597" s="94"/>
      <c r="AM597" s="94"/>
      <c r="AN597" s="94"/>
      <c r="AO597" s="94"/>
      <c r="AP597" s="94"/>
      <c r="AQ597" s="94"/>
      <c r="AR597" s="94"/>
      <c r="AS597" s="94"/>
    </row>
    <row r="598" spans="1: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94"/>
      <c r="AI598" s="94"/>
      <c r="AJ598" s="94"/>
      <c r="AK598" s="94"/>
      <c r="AL598" s="94"/>
      <c r="AM598" s="94"/>
      <c r="AN598" s="94"/>
      <c r="AO598" s="94"/>
      <c r="AP598" s="94"/>
      <c r="AQ598" s="94"/>
      <c r="AR598" s="94"/>
      <c r="AS598" s="94"/>
    </row>
    <row r="599" spans="1: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94"/>
      <c r="AI599" s="94"/>
      <c r="AJ599" s="94"/>
      <c r="AK599" s="94"/>
      <c r="AL599" s="94"/>
      <c r="AM599" s="94"/>
      <c r="AN599" s="94"/>
      <c r="AO599" s="94"/>
      <c r="AP599" s="94"/>
      <c r="AQ599" s="94"/>
      <c r="AR599" s="94"/>
      <c r="AS599" s="94"/>
    </row>
    <row r="600" spans="1: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94"/>
      <c r="AI600" s="94"/>
      <c r="AJ600" s="94"/>
      <c r="AK600" s="94"/>
      <c r="AL600" s="94"/>
      <c r="AM600" s="94"/>
      <c r="AN600" s="94"/>
      <c r="AO600" s="94"/>
      <c r="AP600" s="94"/>
      <c r="AQ600" s="94"/>
      <c r="AR600" s="94"/>
      <c r="AS600" s="94"/>
    </row>
    <row r="601" spans="1: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94"/>
      <c r="AI601" s="94"/>
      <c r="AJ601" s="94"/>
      <c r="AK601" s="94"/>
      <c r="AL601" s="94"/>
      <c r="AM601" s="94"/>
      <c r="AN601" s="94"/>
      <c r="AO601" s="94"/>
      <c r="AP601" s="94"/>
      <c r="AQ601" s="94"/>
      <c r="AR601" s="94"/>
      <c r="AS601" s="94"/>
    </row>
    <row r="602" spans="1: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94"/>
      <c r="AI602" s="94"/>
      <c r="AJ602" s="94"/>
      <c r="AK602" s="94"/>
      <c r="AL602" s="94"/>
      <c r="AM602" s="94"/>
      <c r="AN602" s="94"/>
      <c r="AO602" s="94"/>
      <c r="AP602" s="94"/>
      <c r="AQ602" s="94"/>
      <c r="AR602" s="94"/>
      <c r="AS602" s="94"/>
    </row>
    <row r="603" spans="1: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94"/>
      <c r="AI603" s="94"/>
      <c r="AJ603" s="94"/>
      <c r="AK603" s="94"/>
      <c r="AL603" s="94"/>
      <c r="AM603" s="94"/>
      <c r="AN603" s="94"/>
      <c r="AO603" s="94"/>
      <c r="AP603" s="94"/>
      <c r="AQ603" s="94"/>
      <c r="AR603" s="94"/>
      <c r="AS603" s="94"/>
    </row>
    <row r="604" spans="1: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94"/>
      <c r="AI604" s="94"/>
      <c r="AJ604" s="94"/>
      <c r="AK604" s="94"/>
      <c r="AL604" s="94"/>
      <c r="AM604" s="94"/>
      <c r="AN604" s="94"/>
      <c r="AO604" s="94"/>
      <c r="AP604" s="94"/>
      <c r="AQ604" s="94"/>
      <c r="AR604" s="94"/>
      <c r="AS604" s="94"/>
    </row>
    <row r="605" spans="1: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94"/>
      <c r="AI605" s="94"/>
      <c r="AJ605" s="94"/>
      <c r="AK605" s="94"/>
      <c r="AL605" s="94"/>
      <c r="AM605" s="94"/>
      <c r="AN605" s="94"/>
      <c r="AO605" s="94"/>
      <c r="AP605" s="94"/>
      <c r="AQ605" s="94"/>
      <c r="AR605" s="94"/>
      <c r="AS605" s="94"/>
    </row>
    <row r="606" spans="1: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94"/>
      <c r="AI606" s="94"/>
      <c r="AJ606" s="94"/>
      <c r="AK606" s="94"/>
      <c r="AL606" s="94"/>
      <c r="AM606" s="94"/>
      <c r="AN606" s="94"/>
      <c r="AO606" s="94"/>
      <c r="AP606" s="94"/>
      <c r="AQ606" s="94"/>
      <c r="AR606" s="94"/>
      <c r="AS606" s="94"/>
    </row>
    <row r="607" spans="1: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94"/>
      <c r="AI607" s="94"/>
      <c r="AJ607" s="94"/>
      <c r="AK607" s="94"/>
      <c r="AL607" s="94"/>
      <c r="AM607" s="94"/>
      <c r="AN607" s="94"/>
      <c r="AO607" s="94"/>
      <c r="AP607" s="94"/>
      <c r="AQ607" s="94"/>
      <c r="AR607" s="94"/>
      <c r="AS607" s="94"/>
    </row>
    <row r="608" spans="1: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94"/>
      <c r="AI608" s="94"/>
      <c r="AJ608" s="94"/>
      <c r="AK608" s="94"/>
      <c r="AL608" s="94"/>
      <c r="AM608" s="94"/>
      <c r="AN608" s="94"/>
      <c r="AO608" s="94"/>
      <c r="AP608" s="94"/>
      <c r="AQ608" s="94"/>
      <c r="AR608" s="94"/>
      <c r="AS608" s="94"/>
    </row>
    <row r="609" spans="1: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94"/>
      <c r="AI609" s="94"/>
      <c r="AJ609" s="94"/>
      <c r="AK609" s="94"/>
      <c r="AL609" s="94"/>
      <c r="AM609" s="94"/>
      <c r="AN609" s="94"/>
      <c r="AO609" s="94"/>
      <c r="AP609" s="94"/>
      <c r="AQ609" s="94"/>
      <c r="AR609" s="94"/>
      <c r="AS609" s="94"/>
    </row>
    <row r="610" spans="1: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94"/>
      <c r="AI610" s="94"/>
      <c r="AJ610" s="94"/>
      <c r="AK610" s="94"/>
      <c r="AL610" s="94"/>
      <c r="AM610" s="94"/>
      <c r="AN610" s="94"/>
      <c r="AO610" s="94"/>
      <c r="AP610" s="94"/>
      <c r="AQ610" s="94"/>
      <c r="AR610" s="94"/>
      <c r="AS610" s="94"/>
    </row>
    <row r="611" spans="1: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94"/>
      <c r="AI611" s="94"/>
      <c r="AJ611" s="94"/>
      <c r="AK611" s="94"/>
      <c r="AL611" s="94"/>
      <c r="AM611" s="94"/>
      <c r="AN611" s="94"/>
      <c r="AO611" s="94"/>
      <c r="AP611" s="94"/>
      <c r="AQ611" s="94"/>
      <c r="AR611" s="94"/>
      <c r="AS611" s="94"/>
    </row>
    <row r="612" spans="1: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94"/>
      <c r="AI612" s="94"/>
      <c r="AJ612" s="94"/>
      <c r="AK612" s="94"/>
      <c r="AL612" s="94"/>
      <c r="AM612" s="94"/>
      <c r="AN612" s="94"/>
      <c r="AO612" s="94"/>
      <c r="AP612" s="94"/>
      <c r="AQ612" s="94"/>
      <c r="AR612" s="94"/>
      <c r="AS612" s="94"/>
    </row>
    <row r="613" spans="1: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94"/>
      <c r="AI613" s="94"/>
      <c r="AJ613" s="94"/>
      <c r="AK613" s="94"/>
      <c r="AL613" s="94"/>
      <c r="AM613" s="94"/>
      <c r="AN613" s="94"/>
      <c r="AO613" s="94"/>
      <c r="AP613" s="94"/>
      <c r="AQ613" s="94"/>
      <c r="AR613" s="94"/>
      <c r="AS613" s="94"/>
    </row>
    <row r="614" spans="1: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94"/>
      <c r="AI614" s="94"/>
      <c r="AJ614" s="94"/>
      <c r="AK614" s="94"/>
      <c r="AL614" s="94"/>
      <c r="AM614" s="94"/>
      <c r="AN614" s="94"/>
      <c r="AO614" s="94"/>
      <c r="AP614" s="94"/>
      <c r="AQ614" s="94"/>
      <c r="AR614" s="94"/>
      <c r="AS614" s="94"/>
    </row>
    <row r="615" spans="1: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94"/>
      <c r="AI615" s="94"/>
      <c r="AJ615" s="94"/>
      <c r="AK615" s="94"/>
      <c r="AL615" s="94"/>
      <c r="AM615" s="94"/>
      <c r="AN615" s="94"/>
      <c r="AO615" s="94"/>
      <c r="AP615" s="94"/>
      <c r="AQ615" s="94"/>
      <c r="AR615" s="94"/>
      <c r="AS615" s="94"/>
    </row>
    <row r="616" spans="1: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94"/>
      <c r="AI616" s="94"/>
      <c r="AJ616" s="94"/>
      <c r="AK616" s="94"/>
      <c r="AL616" s="94"/>
      <c r="AM616" s="94"/>
      <c r="AN616" s="94"/>
      <c r="AO616" s="94"/>
      <c r="AP616" s="94"/>
      <c r="AQ616" s="94"/>
      <c r="AR616" s="94"/>
      <c r="AS616" s="94"/>
    </row>
    <row r="617" spans="1: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94"/>
      <c r="AI617" s="94"/>
      <c r="AJ617" s="94"/>
      <c r="AK617" s="94"/>
      <c r="AL617" s="94"/>
      <c r="AM617" s="94"/>
      <c r="AN617" s="94"/>
      <c r="AO617" s="94"/>
      <c r="AP617" s="94"/>
      <c r="AQ617" s="94"/>
      <c r="AR617" s="94"/>
      <c r="AS617" s="94"/>
    </row>
    <row r="618" spans="1: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94"/>
      <c r="AI618" s="94"/>
      <c r="AJ618" s="94"/>
      <c r="AK618" s="94"/>
      <c r="AL618" s="94"/>
      <c r="AM618" s="94"/>
      <c r="AN618" s="94"/>
      <c r="AO618" s="94"/>
      <c r="AP618" s="94"/>
      <c r="AQ618" s="94"/>
      <c r="AR618" s="94"/>
      <c r="AS618" s="94"/>
    </row>
    <row r="619" spans="1: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94"/>
      <c r="AI619" s="94"/>
      <c r="AJ619" s="94"/>
      <c r="AK619" s="94"/>
      <c r="AL619" s="94"/>
      <c r="AM619" s="94"/>
      <c r="AN619" s="94"/>
      <c r="AO619" s="94"/>
      <c r="AP619" s="94"/>
      <c r="AQ619" s="94"/>
      <c r="AR619" s="94"/>
      <c r="AS619" s="94"/>
    </row>
    <row r="620" spans="1: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94"/>
      <c r="AI620" s="94"/>
      <c r="AJ620" s="94"/>
      <c r="AK620" s="94"/>
      <c r="AL620" s="94"/>
      <c r="AM620" s="94"/>
      <c r="AN620" s="94"/>
      <c r="AO620" s="94"/>
      <c r="AP620" s="94"/>
      <c r="AQ620" s="94"/>
      <c r="AR620" s="94"/>
      <c r="AS620" s="94"/>
    </row>
    <row r="621" spans="1: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94"/>
      <c r="AI621" s="94"/>
      <c r="AJ621" s="94"/>
      <c r="AK621" s="94"/>
      <c r="AL621" s="94"/>
      <c r="AM621" s="94"/>
      <c r="AN621" s="94"/>
      <c r="AO621" s="94"/>
      <c r="AP621" s="94"/>
      <c r="AQ621" s="94"/>
      <c r="AR621" s="94"/>
      <c r="AS621" s="94"/>
    </row>
    <row r="622" spans="1: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94"/>
      <c r="AI622" s="94"/>
      <c r="AJ622" s="94"/>
      <c r="AK622" s="94"/>
      <c r="AL622" s="94"/>
      <c r="AM622" s="94"/>
      <c r="AN622" s="94"/>
      <c r="AO622" s="94"/>
      <c r="AP622" s="94"/>
      <c r="AQ622" s="94"/>
      <c r="AR622" s="94"/>
      <c r="AS622" s="94"/>
    </row>
    <row r="623" spans="1: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94"/>
      <c r="AI623" s="94"/>
      <c r="AJ623" s="94"/>
      <c r="AK623" s="94"/>
      <c r="AL623" s="94"/>
      <c r="AM623" s="94"/>
      <c r="AN623" s="94"/>
      <c r="AO623" s="94"/>
      <c r="AP623" s="94"/>
      <c r="AQ623" s="94"/>
      <c r="AR623" s="94"/>
      <c r="AS623" s="94"/>
    </row>
    <row r="624" spans="1: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94"/>
      <c r="AI624" s="94"/>
      <c r="AJ624" s="94"/>
      <c r="AK624" s="94"/>
      <c r="AL624" s="94"/>
      <c r="AM624" s="94"/>
      <c r="AN624" s="94"/>
      <c r="AO624" s="94"/>
      <c r="AP624" s="94"/>
      <c r="AQ624" s="94"/>
      <c r="AR624" s="94"/>
      <c r="AS624" s="94"/>
    </row>
    <row r="625" spans="1: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94"/>
      <c r="AI625" s="94"/>
      <c r="AJ625" s="94"/>
      <c r="AK625" s="94"/>
      <c r="AL625" s="94"/>
      <c r="AM625" s="94"/>
      <c r="AN625" s="94"/>
      <c r="AO625" s="94"/>
      <c r="AP625" s="94"/>
      <c r="AQ625" s="94"/>
      <c r="AR625" s="94"/>
      <c r="AS625" s="94"/>
    </row>
    <row r="626" spans="1: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94"/>
      <c r="AI626" s="94"/>
      <c r="AJ626" s="94"/>
      <c r="AK626" s="94"/>
      <c r="AL626" s="94"/>
      <c r="AM626" s="94"/>
      <c r="AN626" s="94"/>
      <c r="AO626" s="94"/>
      <c r="AP626" s="94"/>
      <c r="AQ626" s="94"/>
      <c r="AR626" s="94"/>
      <c r="AS626" s="94"/>
    </row>
    <row r="627" spans="1: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94"/>
      <c r="AI627" s="94"/>
      <c r="AJ627" s="94"/>
      <c r="AK627" s="94"/>
      <c r="AL627" s="94"/>
      <c r="AM627" s="94"/>
      <c r="AN627" s="94"/>
      <c r="AO627" s="94"/>
      <c r="AP627" s="94"/>
      <c r="AQ627" s="94"/>
      <c r="AR627" s="94"/>
      <c r="AS627" s="94"/>
    </row>
    <row r="628" spans="1: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94"/>
      <c r="AI628" s="94"/>
      <c r="AJ628" s="94"/>
      <c r="AK628" s="94"/>
      <c r="AL628" s="94"/>
      <c r="AM628" s="94"/>
      <c r="AN628" s="94"/>
      <c r="AO628" s="94"/>
      <c r="AP628" s="94"/>
      <c r="AQ628" s="94"/>
      <c r="AR628" s="94"/>
      <c r="AS628" s="94"/>
    </row>
    <row r="629" spans="1: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94"/>
      <c r="AI629" s="94"/>
      <c r="AJ629" s="94"/>
      <c r="AK629" s="94"/>
      <c r="AL629" s="94"/>
      <c r="AM629" s="94"/>
      <c r="AN629" s="94"/>
      <c r="AO629" s="94"/>
      <c r="AP629" s="94"/>
      <c r="AQ629" s="94"/>
      <c r="AR629" s="94"/>
      <c r="AS629" s="94"/>
    </row>
    <row r="630" spans="1: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94"/>
      <c r="AI630" s="94"/>
      <c r="AJ630" s="94"/>
      <c r="AK630" s="94"/>
      <c r="AL630" s="94"/>
      <c r="AM630" s="94"/>
      <c r="AN630" s="94"/>
      <c r="AO630" s="94"/>
      <c r="AP630" s="94"/>
      <c r="AQ630" s="94"/>
      <c r="AR630" s="94"/>
      <c r="AS630" s="94"/>
    </row>
    <row r="631" spans="1: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94"/>
      <c r="AI631" s="94"/>
      <c r="AJ631" s="94"/>
      <c r="AK631" s="94"/>
      <c r="AL631" s="94"/>
      <c r="AM631" s="94"/>
      <c r="AN631" s="94"/>
      <c r="AO631" s="94"/>
      <c r="AP631" s="94"/>
      <c r="AQ631" s="94"/>
      <c r="AR631" s="94"/>
      <c r="AS631" s="94"/>
    </row>
    <row r="632" spans="1: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94"/>
      <c r="AI632" s="94"/>
      <c r="AJ632" s="94"/>
      <c r="AK632" s="94"/>
      <c r="AL632" s="94"/>
      <c r="AM632" s="94"/>
      <c r="AN632" s="94"/>
      <c r="AO632" s="94"/>
      <c r="AP632" s="94"/>
      <c r="AQ632" s="94"/>
      <c r="AR632" s="94"/>
      <c r="AS632" s="94"/>
    </row>
    <row r="633" spans="1: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94"/>
      <c r="AI633" s="94"/>
      <c r="AJ633" s="94"/>
      <c r="AK633" s="94"/>
      <c r="AL633" s="94"/>
      <c r="AM633" s="94"/>
      <c r="AN633" s="94"/>
      <c r="AO633" s="94"/>
      <c r="AP633" s="94"/>
      <c r="AQ633" s="94"/>
      <c r="AR633" s="94"/>
      <c r="AS633" s="94"/>
    </row>
    <row r="634" spans="1: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94"/>
      <c r="AI634" s="94"/>
      <c r="AJ634" s="94"/>
      <c r="AK634" s="94"/>
      <c r="AL634" s="94"/>
      <c r="AM634" s="94"/>
      <c r="AN634" s="94"/>
      <c r="AO634" s="94"/>
      <c r="AP634" s="94"/>
      <c r="AQ634" s="94"/>
      <c r="AR634" s="94"/>
      <c r="AS634" s="94"/>
    </row>
    <row r="635" spans="1: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94"/>
      <c r="AI635" s="94"/>
      <c r="AJ635" s="94"/>
      <c r="AK635" s="94"/>
      <c r="AL635" s="94"/>
      <c r="AM635" s="94"/>
      <c r="AN635" s="94"/>
      <c r="AO635" s="94"/>
      <c r="AP635" s="94"/>
      <c r="AQ635" s="94"/>
      <c r="AR635" s="94"/>
      <c r="AS635" s="94"/>
    </row>
    <row r="636" spans="1: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94"/>
      <c r="AI636" s="94"/>
      <c r="AJ636" s="94"/>
      <c r="AK636" s="94"/>
      <c r="AL636" s="94"/>
      <c r="AM636" s="94"/>
      <c r="AN636" s="94"/>
      <c r="AO636" s="94"/>
      <c r="AP636" s="94"/>
      <c r="AQ636" s="94"/>
      <c r="AR636" s="94"/>
      <c r="AS636" s="94"/>
    </row>
    <row r="637" spans="1: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94"/>
      <c r="AI637" s="94"/>
      <c r="AJ637" s="94"/>
      <c r="AK637" s="94"/>
      <c r="AL637" s="94"/>
      <c r="AM637" s="94"/>
      <c r="AN637" s="94"/>
      <c r="AO637" s="94"/>
      <c r="AP637" s="94"/>
      <c r="AQ637" s="94"/>
      <c r="AR637" s="94"/>
      <c r="AS637" s="94"/>
    </row>
    <row r="638" spans="1: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94"/>
      <c r="AI638" s="94"/>
      <c r="AJ638" s="94"/>
      <c r="AK638" s="94"/>
      <c r="AL638" s="94"/>
      <c r="AM638" s="94"/>
      <c r="AN638" s="94"/>
      <c r="AO638" s="94"/>
      <c r="AP638" s="94"/>
      <c r="AQ638" s="94"/>
      <c r="AR638" s="94"/>
      <c r="AS638" s="94"/>
    </row>
    <row r="639" spans="1: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94"/>
      <c r="AI639" s="94"/>
      <c r="AJ639" s="94"/>
      <c r="AK639" s="94"/>
      <c r="AL639" s="94"/>
      <c r="AM639" s="94"/>
      <c r="AN639" s="94"/>
      <c r="AO639" s="94"/>
      <c r="AP639" s="94"/>
      <c r="AQ639" s="94"/>
      <c r="AR639" s="94"/>
      <c r="AS639" s="94"/>
    </row>
    <row r="640" spans="1: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94"/>
      <c r="AI640" s="94"/>
      <c r="AJ640" s="94"/>
      <c r="AK640" s="94"/>
      <c r="AL640" s="94"/>
      <c r="AM640" s="94"/>
      <c r="AN640" s="94"/>
      <c r="AO640" s="94"/>
      <c r="AP640" s="94"/>
      <c r="AQ640" s="94"/>
      <c r="AR640" s="94"/>
      <c r="AS640" s="94"/>
    </row>
    <row r="641" spans="1: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94"/>
      <c r="AI641" s="94"/>
      <c r="AJ641" s="94"/>
      <c r="AK641" s="94"/>
      <c r="AL641" s="94"/>
      <c r="AM641" s="94"/>
      <c r="AN641" s="94"/>
      <c r="AO641" s="94"/>
      <c r="AP641" s="94"/>
      <c r="AQ641" s="94"/>
      <c r="AR641" s="94"/>
      <c r="AS641" s="94"/>
    </row>
    <row r="642" spans="1: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94"/>
      <c r="AI642" s="94"/>
      <c r="AJ642" s="94"/>
      <c r="AK642" s="94"/>
      <c r="AL642" s="94"/>
      <c r="AM642" s="94"/>
      <c r="AN642" s="94"/>
      <c r="AO642" s="94"/>
      <c r="AP642" s="94"/>
      <c r="AQ642" s="94"/>
      <c r="AR642" s="94"/>
      <c r="AS642" s="94"/>
    </row>
    <row r="643" spans="1: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94"/>
      <c r="AI643" s="94"/>
      <c r="AJ643" s="94"/>
      <c r="AK643" s="94"/>
      <c r="AL643" s="94"/>
      <c r="AM643" s="94"/>
      <c r="AN643" s="94"/>
      <c r="AO643" s="94"/>
      <c r="AP643" s="94"/>
      <c r="AQ643" s="94"/>
      <c r="AR643" s="94"/>
      <c r="AS643" s="94"/>
    </row>
    <row r="644" spans="1: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94"/>
      <c r="AI644" s="94"/>
      <c r="AJ644" s="94"/>
      <c r="AK644" s="94"/>
      <c r="AL644" s="94"/>
      <c r="AM644" s="94"/>
      <c r="AN644" s="94"/>
      <c r="AO644" s="94"/>
      <c r="AP644" s="94"/>
      <c r="AQ644" s="94"/>
      <c r="AR644" s="94"/>
      <c r="AS644" s="94"/>
    </row>
    <row r="645" spans="1: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94"/>
      <c r="AI645" s="94"/>
      <c r="AJ645" s="94"/>
      <c r="AK645" s="94"/>
      <c r="AL645" s="94"/>
      <c r="AM645" s="94"/>
      <c r="AN645" s="94"/>
      <c r="AO645" s="94"/>
      <c r="AP645" s="94"/>
      <c r="AQ645" s="94"/>
      <c r="AR645" s="94"/>
      <c r="AS645" s="94"/>
    </row>
    <row r="646" spans="1: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94"/>
      <c r="AI646" s="94"/>
      <c r="AJ646" s="94"/>
      <c r="AK646" s="94"/>
      <c r="AL646" s="94"/>
      <c r="AM646" s="94"/>
      <c r="AN646" s="94"/>
      <c r="AO646" s="94"/>
      <c r="AP646" s="94"/>
      <c r="AQ646" s="94"/>
      <c r="AR646" s="94"/>
      <c r="AS646" s="94"/>
    </row>
    <row r="647" spans="1: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94"/>
      <c r="AI647" s="94"/>
      <c r="AJ647" s="94"/>
      <c r="AK647" s="94"/>
      <c r="AL647" s="94"/>
      <c r="AM647" s="94"/>
      <c r="AN647" s="94"/>
      <c r="AO647" s="94"/>
      <c r="AP647" s="94"/>
      <c r="AQ647" s="94"/>
      <c r="AR647" s="94"/>
      <c r="AS647" s="94"/>
    </row>
    <row r="648" spans="1: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94"/>
      <c r="AI648" s="94"/>
      <c r="AJ648" s="94"/>
      <c r="AK648" s="94"/>
      <c r="AL648" s="94"/>
      <c r="AM648" s="94"/>
      <c r="AN648" s="94"/>
      <c r="AO648" s="94"/>
      <c r="AP648" s="94"/>
      <c r="AQ648" s="94"/>
      <c r="AR648" s="94"/>
      <c r="AS648" s="94"/>
    </row>
    <row r="649" spans="1: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94"/>
      <c r="AI649" s="94"/>
      <c r="AJ649" s="94"/>
      <c r="AK649" s="94"/>
      <c r="AL649" s="94"/>
      <c r="AM649" s="94"/>
      <c r="AN649" s="94"/>
      <c r="AO649" s="94"/>
      <c r="AP649" s="94"/>
      <c r="AQ649" s="94"/>
      <c r="AR649" s="94"/>
      <c r="AS649" s="94"/>
    </row>
    <row r="650" spans="1: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94"/>
      <c r="AI650" s="94"/>
      <c r="AJ650" s="94"/>
      <c r="AK650" s="94"/>
      <c r="AL650" s="94"/>
      <c r="AM650" s="94"/>
      <c r="AN650" s="94"/>
      <c r="AO650" s="94"/>
      <c r="AP650" s="94"/>
      <c r="AQ650" s="94"/>
      <c r="AR650" s="94"/>
      <c r="AS650" s="94"/>
    </row>
    <row r="651" spans="1: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94"/>
      <c r="AI651" s="94"/>
      <c r="AJ651" s="94"/>
      <c r="AK651" s="94"/>
      <c r="AL651" s="94"/>
      <c r="AM651" s="94"/>
      <c r="AN651" s="94"/>
      <c r="AO651" s="94"/>
      <c r="AP651" s="94"/>
      <c r="AQ651" s="94"/>
      <c r="AR651" s="94"/>
      <c r="AS651" s="94"/>
    </row>
    <row r="652" spans="1: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94"/>
      <c r="AI652" s="94"/>
      <c r="AJ652" s="94"/>
      <c r="AK652" s="94"/>
      <c r="AL652" s="94"/>
      <c r="AM652" s="94"/>
      <c r="AN652" s="94"/>
      <c r="AO652" s="94"/>
      <c r="AP652" s="94"/>
      <c r="AQ652" s="94"/>
      <c r="AR652" s="94"/>
      <c r="AS652" s="94"/>
    </row>
    <row r="653" spans="1: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94"/>
      <c r="AI653" s="94"/>
      <c r="AJ653" s="94"/>
      <c r="AK653" s="94"/>
      <c r="AL653" s="94"/>
      <c r="AM653" s="94"/>
      <c r="AN653" s="94"/>
      <c r="AO653" s="94"/>
      <c r="AP653" s="94"/>
      <c r="AQ653" s="94"/>
      <c r="AR653" s="94"/>
      <c r="AS653" s="94"/>
    </row>
    <row r="654" spans="1: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94"/>
      <c r="AI654" s="94"/>
      <c r="AJ654" s="94"/>
      <c r="AK654" s="94"/>
      <c r="AL654" s="94"/>
      <c r="AM654" s="94"/>
      <c r="AN654" s="94"/>
      <c r="AO654" s="94"/>
      <c r="AP654" s="94"/>
      <c r="AQ654" s="94"/>
      <c r="AR654" s="94"/>
      <c r="AS654" s="94"/>
    </row>
    <row r="655" spans="1: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94"/>
      <c r="AI655" s="94"/>
      <c r="AJ655" s="94"/>
      <c r="AK655" s="94"/>
      <c r="AL655" s="94"/>
      <c r="AM655" s="94"/>
      <c r="AN655" s="94"/>
      <c r="AO655" s="94"/>
      <c r="AP655" s="94"/>
      <c r="AQ655" s="94"/>
      <c r="AR655" s="94"/>
      <c r="AS655" s="94"/>
    </row>
    <row r="656" spans="1: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94"/>
      <c r="AI656" s="94"/>
      <c r="AJ656" s="94"/>
      <c r="AK656" s="94"/>
      <c r="AL656" s="94"/>
      <c r="AM656" s="94"/>
      <c r="AN656" s="94"/>
      <c r="AO656" s="94"/>
      <c r="AP656" s="94"/>
      <c r="AQ656" s="94"/>
      <c r="AR656" s="94"/>
      <c r="AS656" s="94"/>
    </row>
    <row r="657" spans="1: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94"/>
      <c r="AI657" s="94"/>
      <c r="AJ657" s="94"/>
      <c r="AK657" s="94"/>
      <c r="AL657" s="94"/>
      <c r="AM657" s="94"/>
      <c r="AN657" s="94"/>
      <c r="AO657" s="94"/>
      <c r="AP657" s="94"/>
      <c r="AQ657" s="94"/>
      <c r="AR657" s="94"/>
      <c r="AS657" s="94"/>
    </row>
    <row r="658" spans="1: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94"/>
      <c r="AI658" s="94"/>
      <c r="AJ658" s="94"/>
      <c r="AK658" s="94"/>
      <c r="AL658" s="94"/>
      <c r="AM658" s="94"/>
      <c r="AN658" s="94"/>
      <c r="AO658" s="94"/>
      <c r="AP658" s="94"/>
      <c r="AQ658" s="94"/>
      <c r="AR658" s="94"/>
      <c r="AS658" s="94"/>
    </row>
    <row r="659" spans="1: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94"/>
      <c r="AI659" s="94"/>
      <c r="AJ659" s="94"/>
      <c r="AK659" s="94"/>
      <c r="AL659" s="94"/>
      <c r="AM659" s="94"/>
      <c r="AN659" s="94"/>
      <c r="AO659" s="94"/>
      <c r="AP659" s="94"/>
      <c r="AQ659" s="94"/>
      <c r="AR659" s="94"/>
      <c r="AS659" s="94"/>
    </row>
    <row r="660" spans="1: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94"/>
      <c r="AI660" s="94"/>
      <c r="AJ660" s="94"/>
      <c r="AK660" s="94"/>
      <c r="AL660" s="94"/>
      <c r="AM660" s="94"/>
      <c r="AN660" s="94"/>
      <c r="AO660" s="94"/>
      <c r="AP660" s="94"/>
      <c r="AQ660" s="94"/>
      <c r="AR660" s="94"/>
      <c r="AS660" s="94"/>
    </row>
    <row r="661" spans="1: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94"/>
      <c r="AI661" s="94"/>
      <c r="AJ661" s="94"/>
      <c r="AK661" s="94"/>
      <c r="AL661" s="94"/>
      <c r="AM661" s="94"/>
      <c r="AN661" s="94"/>
      <c r="AO661" s="94"/>
      <c r="AP661" s="94"/>
      <c r="AQ661" s="94"/>
      <c r="AR661" s="94"/>
      <c r="AS661" s="94"/>
    </row>
    <row r="662" spans="1: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94"/>
      <c r="AI662" s="94"/>
      <c r="AJ662" s="94"/>
      <c r="AK662" s="94"/>
      <c r="AL662" s="94"/>
      <c r="AM662" s="94"/>
      <c r="AN662" s="94"/>
      <c r="AO662" s="94"/>
      <c r="AP662" s="94"/>
      <c r="AQ662" s="94"/>
      <c r="AR662" s="94"/>
      <c r="AS662" s="94"/>
    </row>
    <row r="663" spans="1: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94"/>
      <c r="AI663" s="94"/>
      <c r="AJ663" s="94"/>
      <c r="AK663" s="94"/>
      <c r="AL663" s="94"/>
      <c r="AM663" s="94"/>
      <c r="AN663" s="94"/>
      <c r="AO663" s="94"/>
      <c r="AP663" s="94"/>
      <c r="AQ663" s="94"/>
      <c r="AR663" s="94"/>
      <c r="AS663" s="94"/>
    </row>
    <row r="664" spans="1: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94"/>
      <c r="AI664" s="94"/>
      <c r="AJ664" s="94"/>
      <c r="AK664" s="94"/>
      <c r="AL664" s="94"/>
      <c r="AM664" s="94"/>
      <c r="AN664" s="94"/>
      <c r="AO664" s="94"/>
      <c r="AP664" s="94"/>
      <c r="AQ664" s="94"/>
      <c r="AR664" s="94"/>
      <c r="AS664" s="94"/>
    </row>
    <row r="665" spans="1: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94"/>
      <c r="AI665" s="94"/>
      <c r="AJ665" s="94"/>
      <c r="AK665" s="94"/>
      <c r="AL665" s="94"/>
      <c r="AM665" s="94"/>
      <c r="AN665" s="94"/>
      <c r="AO665" s="94"/>
      <c r="AP665" s="94"/>
      <c r="AQ665" s="94"/>
      <c r="AR665" s="94"/>
      <c r="AS665" s="94"/>
    </row>
    <row r="666" spans="1: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94"/>
      <c r="AI666" s="94"/>
      <c r="AJ666" s="94"/>
      <c r="AK666" s="94"/>
      <c r="AL666" s="94"/>
      <c r="AM666" s="94"/>
      <c r="AN666" s="94"/>
      <c r="AO666" s="94"/>
      <c r="AP666" s="94"/>
      <c r="AQ666" s="94"/>
      <c r="AR666" s="94"/>
      <c r="AS666" s="94"/>
    </row>
    <row r="667" spans="1: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94"/>
      <c r="AI667" s="94"/>
      <c r="AJ667" s="94"/>
      <c r="AK667" s="94"/>
      <c r="AL667" s="94"/>
      <c r="AM667" s="94"/>
      <c r="AN667" s="94"/>
      <c r="AO667" s="94"/>
      <c r="AP667" s="94"/>
      <c r="AQ667" s="94"/>
      <c r="AR667" s="94"/>
      <c r="AS667" s="94"/>
    </row>
    <row r="668" spans="1: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94"/>
      <c r="AI668" s="94"/>
      <c r="AJ668" s="94"/>
      <c r="AK668" s="94"/>
      <c r="AL668" s="94"/>
      <c r="AM668" s="94"/>
      <c r="AN668" s="94"/>
      <c r="AO668" s="94"/>
      <c r="AP668" s="94"/>
      <c r="AQ668" s="94"/>
      <c r="AR668" s="94"/>
      <c r="AS668" s="94"/>
    </row>
    <row r="669" spans="1: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94"/>
      <c r="AI669" s="94"/>
      <c r="AJ669" s="94"/>
      <c r="AK669" s="94"/>
      <c r="AL669" s="94"/>
      <c r="AM669" s="94"/>
      <c r="AN669" s="94"/>
      <c r="AO669" s="94"/>
      <c r="AP669" s="94"/>
      <c r="AQ669" s="94"/>
      <c r="AR669" s="94"/>
      <c r="AS669" s="94"/>
    </row>
    <row r="670" spans="1: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94"/>
      <c r="AI670" s="94"/>
      <c r="AJ670" s="94"/>
      <c r="AK670" s="94"/>
      <c r="AL670" s="94"/>
      <c r="AM670" s="94"/>
      <c r="AN670" s="94"/>
      <c r="AO670" s="94"/>
      <c r="AP670" s="94"/>
      <c r="AQ670" s="94"/>
      <c r="AR670" s="94"/>
      <c r="AS670" s="94"/>
    </row>
    <row r="671" spans="1: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94"/>
      <c r="AI671" s="94"/>
      <c r="AJ671" s="94"/>
      <c r="AK671" s="94"/>
      <c r="AL671" s="94"/>
      <c r="AM671" s="94"/>
      <c r="AN671" s="94"/>
      <c r="AO671" s="94"/>
      <c r="AP671" s="94"/>
      <c r="AQ671" s="94"/>
      <c r="AR671" s="94"/>
      <c r="AS671" s="94"/>
    </row>
    <row r="672" spans="1: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94"/>
      <c r="AI672" s="94"/>
      <c r="AJ672" s="94"/>
      <c r="AK672" s="94"/>
      <c r="AL672" s="94"/>
      <c r="AM672" s="94"/>
      <c r="AN672" s="94"/>
      <c r="AO672" s="94"/>
      <c r="AP672" s="94"/>
      <c r="AQ672" s="94"/>
      <c r="AR672" s="94"/>
      <c r="AS672" s="94"/>
    </row>
    <row r="673" spans="1: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94"/>
      <c r="AI673" s="94"/>
      <c r="AJ673" s="94"/>
      <c r="AK673" s="94"/>
      <c r="AL673" s="94"/>
      <c r="AM673" s="94"/>
      <c r="AN673" s="94"/>
      <c r="AO673" s="94"/>
      <c r="AP673" s="94"/>
      <c r="AQ673" s="94"/>
      <c r="AR673" s="94"/>
      <c r="AS673" s="94"/>
    </row>
    <row r="674" spans="1: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94"/>
      <c r="AI674" s="94"/>
      <c r="AJ674" s="94"/>
      <c r="AK674" s="94"/>
      <c r="AL674" s="94"/>
      <c r="AM674" s="94"/>
      <c r="AN674" s="94"/>
      <c r="AO674" s="94"/>
      <c r="AP674" s="94"/>
      <c r="AQ674" s="94"/>
      <c r="AR674" s="94"/>
      <c r="AS674" s="94"/>
    </row>
    <row r="675" spans="1: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94"/>
      <c r="AI675" s="94"/>
      <c r="AJ675" s="94"/>
      <c r="AK675" s="94"/>
      <c r="AL675" s="94"/>
      <c r="AM675" s="94"/>
      <c r="AN675" s="94"/>
      <c r="AO675" s="94"/>
      <c r="AP675" s="94"/>
      <c r="AQ675" s="94"/>
      <c r="AR675" s="94"/>
      <c r="AS675" s="94"/>
    </row>
    <row r="676" spans="1: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94"/>
      <c r="AI676" s="94"/>
      <c r="AJ676" s="94"/>
      <c r="AK676" s="94"/>
      <c r="AL676" s="94"/>
      <c r="AM676" s="94"/>
      <c r="AN676" s="94"/>
      <c r="AO676" s="94"/>
      <c r="AP676" s="94"/>
      <c r="AQ676" s="94"/>
      <c r="AR676" s="94"/>
      <c r="AS676" s="94"/>
    </row>
    <row r="677" spans="1: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94"/>
      <c r="AI677" s="94"/>
      <c r="AJ677" s="94"/>
      <c r="AK677" s="94"/>
      <c r="AL677" s="94"/>
      <c r="AM677" s="94"/>
      <c r="AN677" s="94"/>
      <c r="AO677" s="94"/>
      <c r="AP677" s="94"/>
      <c r="AQ677" s="94"/>
      <c r="AR677" s="94"/>
      <c r="AS677" s="94"/>
    </row>
    <row r="678" spans="1: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94"/>
      <c r="AI678" s="94"/>
      <c r="AJ678" s="94"/>
      <c r="AK678" s="94"/>
      <c r="AL678" s="94"/>
      <c r="AM678" s="94"/>
      <c r="AN678" s="94"/>
      <c r="AO678" s="94"/>
      <c r="AP678" s="94"/>
      <c r="AQ678" s="94"/>
      <c r="AR678" s="94"/>
      <c r="AS678" s="94"/>
    </row>
    <row r="679" spans="1: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94"/>
      <c r="AI679" s="94"/>
      <c r="AJ679" s="94"/>
      <c r="AK679" s="94"/>
      <c r="AL679" s="94"/>
      <c r="AM679" s="94"/>
      <c r="AN679" s="94"/>
      <c r="AO679" s="94"/>
      <c r="AP679" s="94"/>
      <c r="AQ679" s="94"/>
      <c r="AR679" s="94"/>
      <c r="AS679" s="94"/>
    </row>
    <row r="680" spans="1: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94"/>
      <c r="AI680" s="94"/>
      <c r="AJ680" s="94"/>
      <c r="AK680" s="94"/>
      <c r="AL680" s="94"/>
      <c r="AM680" s="94"/>
      <c r="AN680" s="94"/>
      <c r="AO680" s="94"/>
      <c r="AP680" s="94"/>
      <c r="AQ680" s="94"/>
      <c r="AR680" s="94"/>
      <c r="AS680" s="94"/>
    </row>
    <row r="681" spans="1: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94"/>
      <c r="AI681" s="94"/>
      <c r="AJ681" s="94"/>
      <c r="AK681" s="94"/>
      <c r="AL681" s="94"/>
      <c r="AM681" s="94"/>
      <c r="AN681" s="94"/>
      <c r="AO681" s="94"/>
      <c r="AP681" s="94"/>
      <c r="AQ681" s="94"/>
      <c r="AR681" s="94"/>
      <c r="AS681" s="94"/>
    </row>
    <row r="682" spans="1: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94"/>
      <c r="AI682" s="94"/>
      <c r="AJ682" s="94"/>
      <c r="AK682" s="94"/>
      <c r="AL682" s="94"/>
      <c r="AM682" s="94"/>
      <c r="AN682" s="94"/>
      <c r="AO682" s="94"/>
      <c r="AP682" s="94"/>
      <c r="AQ682" s="94"/>
      <c r="AR682" s="94"/>
      <c r="AS682" s="94"/>
    </row>
    <row r="683" spans="1: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94"/>
      <c r="AI683" s="94"/>
      <c r="AJ683" s="94"/>
      <c r="AK683" s="94"/>
      <c r="AL683" s="94"/>
      <c r="AM683" s="94"/>
      <c r="AN683" s="94"/>
      <c r="AO683" s="94"/>
      <c r="AP683" s="94"/>
      <c r="AQ683" s="94"/>
      <c r="AR683" s="94"/>
      <c r="AS683" s="94"/>
    </row>
    <row r="684" spans="1: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94"/>
      <c r="AI684" s="94"/>
      <c r="AJ684" s="94"/>
      <c r="AK684" s="94"/>
      <c r="AL684" s="94"/>
      <c r="AM684" s="94"/>
      <c r="AN684" s="94"/>
      <c r="AO684" s="94"/>
      <c r="AP684" s="94"/>
      <c r="AQ684" s="94"/>
      <c r="AR684" s="94"/>
      <c r="AS684" s="94"/>
    </row>
    <row r="685" spans="1: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94"/>
      <c r="AI685" s="94"/>
      <c r="AJ685" s="94"/>
      <c r="AK685" s="94"/>
      <c r="AL685" s="94"/>
      <c r="AM685" s="94"/>
      <c r="AN685" s="94"/>
      <c r="AO685" s="94"/>
      <c r="AP685" s="94"/>
      <c r="AQ685" s="94"/>
      <c r="AR685" s="94"/>
      <c r="AS685" s="94"/>
    </row>
    <row r="686" spans="1: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94"/>
      <c r="AI686" s="94"/>
      <c r="AJ686" s="94"/>
      <c r="AK686" s="94"/>
      <c r="AL686" s="94"/>
      <c r="AM686" s="94"/>
      <c r="AN686" s="94"/>
      <c r="AO686" s="94"/>
      <c r="AP686" s="94"/>
      <c r="AQ686" s="94"/>
      <c r="AR686" s="94"/>
      <c r="AS686" s="94"/>
    </row>
    <row r="687" spans="1: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94"/>
      <c r="AI687" s="94"/>
      <c r="AJ687" s="94"/>
      <c r="AK687" s="94"/>
      <c r="AL687" s="94"/>
      <c r="AM687" s="94"/>
      <c r="AN687" s="94"/>
      <c r="AO687" s="94"/>
      <c r="AP687" s="94"/>
      <c r="AQ687" s="94"/>
      <c r="AR687" s="94"/>
      <c r="AS687" s="94"/>
    </row>
    <row r="688" spans="1: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94"/>
      <c r="AI688" s="94"/>
      <c r="AJ688" s="94"/>
      <c r="AK688" s="94"/>
      <c r="AL688" s="94"/>
      <c r="AM688" s="94"/>
      <c r="AN688" s="94"/>
      <c r="AO688" s="94"/>
      <c r="AP688" s="94"/>
      <c r="AQ688" s="94"/>
      <c r="AR688" s="94"/>
      <c r="AS688" s="94"/>
    </row>
    <row r="689" spans="1: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94"/>
      <c r="AI689" s="94"/>
      <c r="AJ689" s="94"/>
      <c r="AK689" s="94"/>
      <c r="AL689" s="94"/>
      <c r="AM689" s="94"/>
      <c r="AN689" s="94"/>
      <c r="AO689" s="94"/>
      <c r="AP689" s="94"/>
      <c r="AQ689" s="94"/>
      <c r="AR689" s="94"/>
      <c r="AS689" s="94"/>
    </row>
    <row r="690" spans="1: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94"/>
      <c r="AI690" s="94"/>
      <c r="AJ690" s="94"/>
      <c r="AK690" s="94"/>
      <c r="AL690" s="94"/>
      <c r="AM690" s="94"/>
      <c r="AN690" s="94"/>
      <c r="AO690" s="94"/>
      <c r="AP690" s="94"/>
      <c r="AQ690" s="94"/>
      <c r="AR690" s="94"/>
      <c r="AS690" s="94"/>
    </row>
    <row r="691" spans="1: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94"/>
      <c r="AI691" s="94"/>
      <c r="AJ691" s="94"/>
      <c r="AK691" s="94"/>
      <c r="AL691" s="94"/>
      <c r="AM691" s="94"/>
      <c r="AN691" s="94"/>
      <c r="AO691" s="94"/>
      <c r="AP691" s="94"/>
      <c r="AQ691" s="94"/>
      <c r="AR691" s="94"/>
      <c r="AS691" s="94"/>
    </row>
    <row r="692" spans="1: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94"/>
      <c r="AI692" s="94"/>
      <c r="AJ692" s="94"/>
      <c r="AK692" s="94"/>
      <c r="AL692" s="94"/>
      <c r="AM692" s="94"/>
      <c r="AN692" s="94"/>
      <c r="AO692" s="94"/>
      <c r="AP692" s="94"/>
      <c r="AQ692" s="94"/>
      <c r="AR692" s="94"/>
      <c r="AS692" s="94"/>
    </row>
    <row r="693" spans="1: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94"/>
      <c r="AI693" s="94"/>
      <c r="AJ693" s="94"/>
      <c r="AK693" s="94"/>
      <c r="AL693" s="94"/>
      <c r="AM693" s="94"/>
      <c r="AN693" s="94"/>
      <c r="AO693" s="94"/>
      <c r="AP693" s="94"/>
      <c r="AQ693" s="94"/>
      <c r="AR693" s="94"/>
      <c r="AS693" s="94"/>
    </row>
    <row r="694" spans="1: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94"/>
      <c r="AI694" s="94"/>
      <c r="AJ694" s="94"/>
      <c r="AK694" s="94"/>
      <c r="AL694" s="94"/>
      <c r="AM694" s="94"/>
      <c r="AN694" s="94"/>
      <c r="AO694" s="94"/>
      <c r="AP694" s="94"/>
      <c r="AQ694" s="94"/>
      <c r="AR694" s="94"/>
      <c r="AS694" s="94"/>
    </row>
    <row r="695" spans="1: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94"/>
      <c r="AI695" s="94"/>
      <c r="AJ695" s="94"/>
      <c r="AK695" s="94"/>
      <c r="AL695" s="94"/>
      <c r="AM695" s="94"/>
      <c r="AN695" s="94"/>
      <c r="AO695" s="94"/>
      <c r="AP695" s="94"/>
      <c r="AQ695" s="94"/>
      <c r="AR695" s="94"/>
      <c r="AS695" s="94"/>
    </row>
    <row r="696" spans="1: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94"/>
      <c r="AI696" s="94"/>
      <c r="AJ696" s="94"/>
      <c r="AK696" s="94"/>
      <c r="AL696" s="94"/>
      <c r="AM696" s="94"/>
      <c r="AN696" s="94"/>
      <c r="AO696" s="94"/>
      <c r="AP696" s="94"/>
      <c r="AQ696" s="94"/>
      <c r="AR696" s="94"/>
      <c r="AS696" s="94"/>
    </row>
    <row r="697" spans="1: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94"/>
      <c r="AI697" s="94"/>
      <c r="AJ697" s="94"/>
      <c r="AK697" s="94"/>
      <c r="AL697" s="94"/>
      <c r="AM697" s="94"/>
      <c r="AN697" s="94"/>
      <c r="AO697" s="94"/>
      <c r="AP697" s="94"/>
      <c r="AQ697" s="94"/>
      <c r="AR697" s="94"/>
      <c r="AS697" s="94"/>
    </row>
    <row r="698" spans="1: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94"/>
      <c r="AI698" s="94"/>
      <c r="AJ698" s="94"/>
      <c r="AK698" s="94"/>
      <c r="AL698" s="94"/>
      <c r="AM698" s="94"/>
      <c r="AN698" s="94"/>
      <c r="AO698" s="94"/>
      <c r="AP698" s="94"/>
      <c r="AQ698" s="94"/>
      <c r="AR698" s="94"/>
      <c r="AS698" s="94"/>
    </row>
    <row r="699" spans="1: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94"/>
      <c r="AI699" s="94"/>
      <c r="AJ699" s="94"/>
      <c r="AK699" s="94"/>
      <c r="AL699" s="94"/>
      <c r="AM699" s="94"/>
      <c r="AN699" s="94"/>
      <c r="AO699" s="94"/>
      <c r="AP699" s="94"/>
      <c r="AQ699" s="94"/>
      <c r="AR699" s="94"/>
      <c r="AS699" s="94"/>
    </row>
    <row r="700" spans="1: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94"/>
      <c r="AI700" s="94"/>
      <c r="AJ700" s="94"/>
      <c r="AK700" s="94"/>
      <c r="AL700" s="94"/>
      <c r="AM700" s="94"/>
      <c r="AN700" s="94"/>
      <c r="AO700" s="94"/>
      <c r="AP700" s="94"/>
      <c r="AQ700" s="94"/>
      <c r="AR700" s="94"/>
      <c r="AS700" s="94"/>
    </row>
    <row r="701" spans="1: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94"/>
      <c r="AI701" s="94"/>
      <c r="AJ701" s="94"/>
      <c r="AK701" s="94"/>
      <c r="AL701" s="94"/>
      <c r="AM701" s="94"/>
      <c r="AN701" s="94"/>
      <c r="AO701" s="94"/>
      <c r="AP701" s="94"/>
      <c r="AQ701" s="94"/>
      <c r="AR701" s="94"/>
      <c r="AS701" s="94"/>
    </row>
    <row r="702" spans="1: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94"/>
      <c r="AI702" s="94"/>
      <c r="AJ702" s="94"/>
      <c r="AK702" s="94"/>
      <c r="AL702" s="94"/>
      <c r="AM702" s="94"/>
      <c r="AN702" s="94"/>
      <c r="AO702" s="94"/>
      <c r="AP702" s="94"/>
      <c r="AQ702" s="94"/>
      <c r="AR702" s="94"/>
      <c r="AS702" s="94"/>
    </row>
    <row r="703" spans="1: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94"/>
      <c r="AI703" s="94"/>
      <c r="AJ703" s="94"/>
      <c r="AK703" s="94"/>
      <c r="AL703" s="94"/>
      <c r="AM703" s="94"/>
      <c r="AN703" s="94"/>
      <c r="AO703" s="94"/>
      <c r="AP703" s="94"/>
      <c r="AQ703" s="94"/>
      <c r="AR703" s="94"/>
      <c r="AS703" s="94"/>
    </row>
    <row r="704" spans="1: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94"/>
      <c r="AI704" s="94"/>
      <c r="AJ704" s="94"/>
      <c r="AK704" s="94"/>
      <c r="AL704" s="94"/>
      <c r="AM704" s="94"/>
      <c r="AN704" s="94"/>
      <c r="AO704" s="94"/>
      <c r="AP704" s="94"/>
      <c r="AQ704" s="94"/>
      <c r="AR704" s="94"/>
      <c r="AS704" s="94"/>
    </row>
    <row r="705" spans="1: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94"/>
      <c r="AI705" s="94"/>
      <c r="AJ705" s="94"/>
      <c r="AK705" s="94"/>
      <c r="AL705" s="94"/>
      <c r="AM705" s="94"/>
      <c r="AN705" s="94"/>
      <c r="AO705" s="94"/>
      <c r="AP705" s="94"/>
      <c r="AQ705" s="94"/>
      <c r="AR705" s="94"/>
      <c r="AS705" s="94"/>
    </row>
    <row r="706" spans="1: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94"/>
      <c r="AI706" s="94"/>
      <c r="AJ706" s="94"/>
      <c r="AK706" s="94"/>
      <c r="AL706" s="94"/>
      <c r="AM706" s="94"/>
      <c r="AN706" s="94"/>
      <c r="AO706" s="94"/>
      <c r="AP706" s="94"/>
      <c r="AQ706" s="94"/>
      <c r="AR706" s="94"/>
      <c r="AS706" s="94"/>
    </row>
    <row r="707" spans="1: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94"/>
      <c r="AI707" s="94"/>
      <c r="AJ707" s="94"/>
      <c r="AK707" s="94"/>
      <c r="AL707" s="94"/>
      <c r="AM707" s="94"/>
      <c r="AN707" s="94"/>
      <c r="AO707" s="94"/>
      <c r="AP707" s="94"/>
      <c r="AQ707" s="94"/>
      <c r="AR707" s="94"/>
      <c r="AS707" s="94"/>
    </row>
    <row r="708" spans="1: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94"/>
      <c r="AI708" s="94"/>
      <c r="AJ708" s="94"/>
      <c r="AK708" s="94"/>
      <c r="AL708" s="94"/>
      <c r="AM708" s="94"/>
      <c r="AN708" s="94"/>
      <c r="AO708" s="94"/>
      <c r="AP708" s="94"/>
      <c r="AQ708" s="94"/>
      <c r="AR708" s="94"/>
      <c r="AS708" s="94"/>
    </row>
    <row r="709" spans="1: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94"/>
      <c r="AI709" s="94"/>
      <c r="AJ709" s="94"/>
      <c r="AK709" s="94"/>
      <c r="AL709" s="94"/>
      <c r="AM709" s="94"/>
      <c r="AN709" s="94"/>
      <c r="AO709" s="94"/>
      <c r="AP709" s="94"/>
      <c r="AQ709" s="94"/>
      <c r="AR709" s="94"/>
      <c r="AS709" s="94"/>
    </row>
    <row r="710" spans="1: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94"/>
      <c r="AI710" s="94"/>
      <c r="AJ710" s="94"/>
      <c r="AK710" s="94"/>
      <c r="AL710" s="94"/>
      <c r="AM710" s="94"/>
      <c r="AN710" s="94"/>
      <c r="AO710" s="94"/>
      <c r="AP710" s="94"/>
      <c r="AQ710" s="94"/>
      <c r="AR710" s="94"/>
      <c r="AS710" s="94"/>
    </row>
    <row r="711" spans="1: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94"/>
      <c r="AI711" s="94"/>
      <c r="AJ711" s="94"/>
      <c r="AK711" s="94"/>
      <c r="AL711" s="94"/>
      <c r="AM711" s="94"/>
      <c r="AN711" s="94"/>
      <c r="AO711" s="94"/>
      <c r="AP711" s="94"/>
      <c r="AQ711" s="94"/>
      <c r="AR711" s="94"/>
      <c r="AS711" s="94"/>
    </row>
    <row r="712" spans="1: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94"/>
      <c r="AI712" s="94"/>
      <c r="AJ712" s="94"/>
      <c r="AK712" s="94"/>
      <c r="AL712" s="94"/>
      <c r="AM712" s="94"/>
      <c r="AN712" s="94"/>
      <c r="AO712" s="94"/>
      <c r="AP712" s="94"/>
      <c r="AQ712" s="94"/>
      <c r="AR712" s="94"/>
      <c r="AS712" s="94"/>
    </row>
    <row r="713" spans="1: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94"/>
      <c r="AI713" s="94"/>
      <c r="AJ713" s="94"/>
      <c r="AK713" s="94"/>
      <c r="AL713" s="94"/>
      <c r="AM713" s="94"/>
      <c r="AN713" s="94"/>
      <c r="AO713" s="94"/>
      <c r="AP713" s="94"/>
      <c r="AQ713" s="94"/>
      <c r="AR713" s="94"/>
      <c r="AS713" s="94"/>
    </row>
    <row r="714" spans="1: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94"/>
      <c r="AI714" s="94"/>
      <c r="AJ714" s="94"/>
      <c r="AK714" s="94"/>
      <c r="AL714" s="94"/>
      <c r="AM714" s="94"/>
      <c r="AN714" s="94"/>
      <c r="AO714" s="94"/>
      <c r="AP714" s="94"/>
      <c r="AQ714" s="94"/>
      <c r="AR714" s="94"/>
      <c r="AS714" s="94"/>
    </row>
    <row r="715" spans="1: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94"/>
      <c r="AI715" s="94"/>
      <c r="AJ715" s="94"/>
      <c r="AK715" s="94"/>
      <c r="AL715" s="94"/>
      <c r="AM715" s="94"/>
      <c r="AN715" s="94"/>
      <c r="AO715" s="94"/>
      <c r="AP715" s="94"/>
      <c r="AQ715" s="94"/>
      <c r="AR715" s="94"/>
      <c r="AS715" s="94"/>
    </row>
    <row r="716" spans="1: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94"/>
      <c r="AI716" s="94"/>
      <c r="AJ716" s="94"/>
      <c r="AK716" s="94"/>
      <c r="AL716" s="94"/>
      <c r="AM716" s="94"/>
      <c r="AN716" s="94"/>
      <c r="AO716" s="94"/>
      <c r="AP716" s="94"/>
      <c r="AQ716" s="94"/>
      <c r="AR716" s="94"/>
      <c r="AS716" s="94"/>
    </row>
    <row r="717" spans="1: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94"/>
      <c r="AI717" s="94"/>
      <c r="AJ717" s="94"/>
      <c r="AK717" s="94"/>
      <c r="AL717" s="94"/>
      <c r="AM717" s="94"/>
      <c r="AN717" s="94"/>
      <c r="AO717" s="94"/>
      <c r="AP717" s="94"/>
      <c r="AQ717" s="94"/>
      <c r="AR717" s="94"/>
      <c r="AS717" s="94"/>
    </row>
    <row r="718" spans="1: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94"/>
      <c r="AI718" s="94"/>
      <c r="AJ718" s="94"/>
      <c r="AK718" s="94"/>
      <c r="AL718" s="94"/>
      <c r="AM718" s="94"/>
      <c r="AN718" s="94"/>
      <c r="AO718" s="94"/>
      <c r="AP718" s="94"/>
      <c r="AQ718" s="94"/>
      <c r="AR718" s="94"/>
      <c r="AS718" s="94"/>
    </row>
    <row r="719" spans="1: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94"/>
      <c r="AI719" s="94"/>
      <c r="AJ719" s="94"/>
      <c r="AK719" s="94"/>
      <c r="AL719" s="94"/>
      <c r="AM719" s="94"/>
      <c r="AN719" s="94"/>
      <c r="AO719" s="94"/>
      <c r="AP719" s="94"/>
      <c r="AQ719" s="94"/>
      <c r="AR719" s="94"/>
      <c r="AS719" s="94"/>
    </row>
    <row r="720" spans="1: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94"/>
      <c r="AI720" s="94"/>
      <c r="AJ720" s="94"/>
      <c r="AK720" s="94"/>
      <c r="AL720" s="94"/>
      <c r="AM720" s="94"/>
      <c r="AN720" s="94"/>
      <c r="AO720" s="94"/>
      <c r="AP720" s="94"/>
      <c r="AQ720" s="94"/>
      <c r="AR720" s="94"/>
      <c r="AS720" s="94"/>
    </row>
    <row r="721" spans="1: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94"/>
      <c r="AI721" s="94"/>
      <c r="AJ721" s="94"/>
      <c r="AK721" s="94"/>
      <c r="AL721" s="94"/>
      <c r="AM721" s="94"/>
      <c r="AN721" s="94"/>
      <c r="AO721" s="94"/>
      <c r="AP721" s="94"/>
      <c r="AQ721" s="94"/>
      <c r="AR721" s="94"/>
      <c r="AS721" s="94"/>
    </row>
    <row r="722" spans="1: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94"/>
      <c r="AI722" s="94"/>
      <c r="AJ722" s="94"/>
      <c r="AK722" s="94"/>
      <c r="AL722" s="94"/>
      <c r="AM722" s="94"/>
      <c r="AN722" s="94"/>
      <c r="AO722" s="94"/>
      <c r="AP722" s="94"/>
      <c r="AQ722" s="94"/>
      <c r="AR722" s="94"/>
      <c r="AS722" s="94"/>
    </row>
    <row r="723" spans="1: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94"/>
      <c r="AI723" s="94"/>
      <c r="AJ723" s="94"/>
      <c r="AK723" s="94"/>
      <c r="AL723" s="94"/>
      <c r="AM723" s="94"/>
      <c r="AN723" s="94"/>
      <c r="AO723" s="94"/>
      <c r="AP723" s="94"/>
      <c r="AQ723" s="94"/>
      <c r="AR723" s="94"/>
      <c r="AS723" s="94"/>
    </row>
    <row r="724" spans="1: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94"/>
      <c r="AI724" s="94"/>
      <c r="AJ724" s="94"/>
      <c r="AK724" s="94"/>
      <c r="AL724" s="94"/>
      <c r="AM724" s="94"/>
      <c r="AN724" s="94"/>
      <c r="AO724" s="94"/>
      <c r="AP724" s="94"/>
      <c r="AQ724" s="94"/>
      <c r="AR724" s="94"/>
      <c r="AS724" s="94"/>
    </row>
    <row r="725" spans="1: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94"/>
      <c r="AI725" s="94"/>
      <c r="AJ725" s="94"/>
      <c r="AK725" s="94"/>
      <c r="AL725" s="94"/>
      <c r="AM725" s="94"/>
      <c r="AN725" s="94"/>
      <c r="AO725" s="94"/>
      <c r="AP725" s="94"/>
      <c r="AQ725" s="94"/>
      <c r="AR725" s="94"/>
      <c r="AS725" s="94"/>
    </row>
    <row r="726" spans="1: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94"/>
      <c r="AI726" s="94"/>
      <c r="AJ726" s="94"/>
      <c r="AK726" s="94"/>
      <c r="AL726" s="94"/>
      <c r="AM726" s="94"/>
      <c r="AN726" s="94"/>
      <c r="AO726" s="94"/>
      <c r="AP726" s="94"/>
      <c r="AQ726" s="94"/>
      <c r="AR726" s="94"/>
      <c r="AS726" s="94"/>
    </row>
    <row r="727" spans="1: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94"/>
      <c r="AI727" s="94"/>
      <c r="AJ727" s="94"/>
      <c r="AK727" s="94"/>
      <c r="AL727" s="94"/>
      <c r="AM727" s="94"/>
      <c r="AN727" s="94"/>
      <c r="AO727" s="94"/>
      <c r="AP727" s="94"/>
      <c r="AQ727" s="94"/>
      <c r="AR727" s="94"/>
      <c r="AS727" s="94"/>
    </row>
    <row r="728" spans="1: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94"/>
      <c r="AI728" s="94"/>
      <c r="AJ728" s="94"/>
      <c r="AK728" s="94"/>
      <c r="AL728" s="94"/>
      <c r="AM728" s="94"/>
      <c r="AN728" s="94"/>
      <c r="AO728" s="94"/>
      <c r="AP728" s="94"/>
      <c r="AQ728" s="94"/>
      <c r="AR728" s="94"/>
      <c r="AS728" s="94"/>
    </row>
    <row r="729" spans="1: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94"/>
      <c r="AI729" s="94"/>
      <c r="AJ729" s="94"/>
      <c r="AK729" s="94"/>
      <c r="AL729" s="94"/>
      <c r="AM729" s="94"/>
      <c r="AN729" s="94"/>
      <c r="AO729" s="94"/>
      <c r="AP729" s="94"/>
      <c r="AQ729" s="94"/>
      <c r="AR729" s="94"/>
      <c r="AS729" s="94"/>
    </row>
    <row r="730" spans="1: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94"/>
      <c r="AI730" s="94"/>
      <c r="AJ730" s="94"/>
      <c r="AK730" s="94"/>
      <c r="AL730" s="94"/>
      <c r="AM730" s="94"/>
      <c r="AN730" s="94"/>
      <c r="AO730" s="94"/>
      <c r="AP730" s="94"/>
      <c r="AQ730" s="94"/>
      <c r="AR730" s="94"/>
      <c r="AS730" s="94"/>
    </row>
    <row r="731" spans="1: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94"/>
      <c r="AI731" s="94"/>
      <c r="AJ731" s="94"/>
      <c r="AK731" s="94"/>
      <c r="AL731" s="94"/>
      <c r="AM731" s="94"/>
      <c r="AN731" s="94"/>
      <c r="AO731" s="94"/>
      <c r="AP731" s="94"/>
      <c r="AQ731" s="94"/>
      <c r="AR731" s="94"/>
      <c r="AS731" s="94"/>
    </row>
    <row r="732" spans="1: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94"/>
      <c r="AI732" s="94"/>
      <c r="AJ732" s="94"/>
      <c r="AK732" s="94"/>
      <c r="AL732" s="94"/>
      <c r="AM732" s="94"/>
      <c r="AN732" s="94"/>
      <c r="AO732" s="94"/>
      <c r="AP732" s="94"/>
      <c r="AQ732" s="94"/>
      <c r="AR732" s="94"/>
      <c r="AS732" s="94"/>
    </row>
    <row r="733" spans="1: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94"/>
      <c r="AI733" s="94"/>
      <c r="AJ733" s="94"/>
      <c r="AK733" s="94"/>
      <c r="AL733" s="94"/>
      <c r="AM733" s="94"/>
      <c r="AN733" s="94"/>
      <c r="AO733" s="94"/>
      <c r="AP733" s="94"/>
      <c r="AQ733" s="94"/>
      <c r="AR733" s="94"/>
      <c r="AS733" s="94"/>
    </row>
    <row r="734" spans="1: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94"/>
      <c r="AI734" s="94"/>
      <c r="AJ734" s="94"/>
      <c r="AK734" s="94"/>
      <c r="AL734" s="94"/>
      <c r="AM734" s="94"/>
      <c r="AN734" s="94"/>
      <c r="AO734" s="94"/>
      <c r="AP734" s="94"/>
      <c r="AQ734" s="94"/>
      <c r="AR734" s="94"/>
      <c r="AS734" s="94"/>
    </row>
    <row r="735" spans="1: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94"/>
      <c r="AI735" s="94"/>
      <c r="AJ735" s="94"/>
      <c r="AK735" s="94"/>
      <c r="AL735" s="94"/>
      <c r="AM735" s="94"/>
      <c r="AN735" s="94"/>
      <c r="AO735" s="94"/>
      <c r="AP735" s="94"/>
      <c r="AQ735" s="94"/>
      <c r="AR735" s="94"/>
      <c r="AS735" s="94"/>
    </row>
    <row r="736" spans="1: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94"/>
      <c r="AI736" s="94"/>
      <c r="AJ736" s="94"/>
      <c r="AK736" s="94"/>
      <c r="AL736" s="94"/>
      <c r="AM736" s="94"/>
      <c r="AN736" s="94"/>
      <c r="AO736" s="94"/>
      <c r="AP736" s="94"/>
      <c r="AQ736" s="94"/>
      <c r="AR736" s="94"/>
      <c r="AS736" s="94"/>
    </row>
    <row r="737" spans="1: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94"/>
      <c r="AI737" s="94"/>
      <c r="AJ737" s="94"/>
      <c r="AK737" s="94"/>
      <c r="AL737" s="94"/>
      <c r="AM737" s="94"/>
      <c r="AN737" s="94"/>
      <c r="AO737" s="94"/>
      <c r="AP737" s="94"/>
      <c r="AQ737" s="94"/>
      <c r="AR737" s="94"/>
      <c r="AS737" s="94"/>
    </row>
    <row r="738" spans="1: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94"/>
      <c r="AI738" s="94"/>
      <c r="AJ738" s="94"/>
      <c r="AK738" s="94"/>
      <c r="AL738" s="94"/>
      <c r="AM738" s="94"/>
      <c r="AN738" s="94"/>
      <c r="AO738" s="94"/>
      <c r="AP738" s="94"/>
      <c r="AQ738" s="94"/>
      <c r="AR738" s="94"/>
      <c r="AS738" s="94"/>
    </row>
    <row r="739" spans="1: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94"/>
      <c r="AI739" s="94"/>
      <c r="AJ739" s="94"/>
      <c r="AK739" s="94"/>
      <c r="AL739" s="94"/>
      <c r="AM739" s="94"/>
      <c r="AN739" s="94"/>
      <c r="AO739" s="94"/>
      <c r="AP739" s="94"/>
      <c r="AQ739" s="94"/>
      <c r="AR739" s="94"/>
      <c r="AS739" s="94"/>
    </row>
    <row r="740" spans="1: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94"/>
      <c r="AI740" s="94"/>
      <c r="AJ740" s="94"/>
      <c r="AK740" s="94"/>
      <c r="AL740" s="94"/>
      <c r="AM740" s="94"/>
      <c r="AN740" s="94"/>
      <c r="AO740" s="94"/>
      <c r="AP740" s="94"/>
      <c r="AQ740" s="94"/>
      <c r="AR740" s="94"/>
      <c r="AS740" s="94"/>
    </row>
    <row r="741" spans="1: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94"/>
      <c r="AI741" s="94"/>
      <c r="AJ741" s="94"/>
      <c r="AK741" s="94"/>
      <c r="AL741" s="94"/>
      <c r="AM741" s="94"/>
      <c r="AN741" s="94"/>
      <c r="AO741" s="94"/>
      <c r="AP741" s="94"/>
      <c r="AQ741" s="94"/>
      <c r="AR741" s="94"/>
      <c r="AS741" s="94"/>
    </row>
    <row r="742" spans="1: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94"/>
      <c r="AI742" s="94"/>
      <c r="AJ742" s="94"/>
      <c r="AK742" s="94"/>
      <c r="AL742" s="94"/>
      <c r="AM742" s="94"/>
      <c r="AN742" s="94"/>
      <c r="AO742" s="94"/>
      <c r="AP742" s="94"/>
      <c r="AQ742" s="94"/>
      <c r="AR742" s="94"/>
      <c r="AS742" s="94"/>
    </row>
    <row r="743" spans="1: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94"/>
      <c r="AI743" s="94"/>
      <c r="AJ743" s="94"/>
      <c r="AK743" s="94"/>
      <c r="AL743" s="94"/>
      <c r="AM743" s="94"/>
      <c r="AN743" s="94"/>
      <c r="AO743" s="94"/>
      <c r="AP743" s="94"/>
      <c r="AQ743" s="94"/>
      <c r="AR743" s="94"/>
      <c r="AS743" s="94"/>
    </row>
    <row r="744" spans="1: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94"/>
      <c r="AI744" s="94"/>
      <c r="AJ744" s="94"/>
      <c r="AK744" s="94"/>
      <c r="AL744" s="94"/>
      <c r="AM744" s="94"/>
      <c r="AN744" s="94"/>
      <c r="AO744" s="94"/>
      <c r="AP744" s="94"/>
      <c r="AQ744" s="94"/>
      <c r="AR744" s="94"/>
      <c r="AS744" s="94"/>
    </row>
    <row r="745" spans="1: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94"/>
      <c r="AI745" s="94"/>
      <c r="AJ745" s="94"/>
      <c r="AK745" s="94"/>
      <c r="AL745" s="94"/>
      <c r="AM745" s="94"/>
      <c r="AN745" s="94"/>
      <c r="AO745" s="94"/>
      <c r="AP745" s="94"/>
      <c r="AQ745" s="94"/>
      <c r="AR745" s="94"/>
      <c r="AS745" s="94"/>
    </row>
    <row r="746" spans="1: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94"/>
      <c r="AI746" s="94"/>
      <c r="AJ746" s="94"/>
      <c r="AK746" s="94"/>
      <c r="AL746" s="94"/>
      <c r="AM746" s="94"/>
      <c r="AN746" s="94"/>
      <c r="AO746" s="94"/>
      <c r="AP746" s="94"/>
      <c r="AQ746" s="94"/>
      <c r="AR746" s="94"/>
      <c r="AS746" s="94"/>
    </row>
    <row r="747" spans="1: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94"/>
      <c r="AI747" s="94"/>
      <c r="AJ747" s="94"/>
      <c r="AK747" s="94"/>
      <c r="AL747" s="94"/>
      <c r="AM747" s="94"/>
      <c r="AN747" s="94"/>
      <c r="AO747" s="94"/>
      <c r="AP747" s="94"/>
      <c r="AQ747" s="94"/>
      <c r="AR747" s="94"/>
      <c r="AS747" s="94"/>
    </row>
    <row r="748" spans="1: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94"/>
      <c r="AI748" s="94"/>
      <c r="AJ748" s="94"/>
      <c r="AK748" s="94"/>
      <c r="AL748" s="94"/>
      <c r="AM748" s="94"/>
      <c r="AN748" s="94"/>
      <c r="AO748" s="94"/>
      <c r="AP748" s="94"/>
      <c r="AQ748" s="94"/>
      <c r="AR748" s="94"/>
      <c r="AS748" s="94"/>
    </row>
    <row r="749" spans="1: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94"/>
      <c r="AI749" s="94"/>
      <c r="AJ749" s="94"/>
      <c r="AK749" s="94"/>
      <c r="AL749" s="94"/>
      <c r="AM749" s="94"/>
      <c r="AN749" s="94"/>
      <c r="AO749" s="94"/>
      <c r="AP749" s="94"/>
      <c r="AQ749" s="94"/>
      <c r="AR749" s="94"/>
      <c r="AS749" s="94"/>
    </row>
    <row r="750" spans="1: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94"/>
      <c r="AI750" s="94"/>
      <c r="AJ750" s="94"/>
      <c r="AK750" s="94"/>
      <c r="AL750" s="94"/>
      <c r="AM750" s="94"/>
      <c r="AN750" s="94"/>
      <c r="AO750" s="94"/>
      <c r="AP750" s="94"/>
      <c r="AQ750" s="94"/>
      <c r="AR750" s="94"/>
      <c r="AS750" s="94"/>
    </row>
    <row r="751" spans="1: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94"/>
      <c r="AI751" s="94"/>
      <c r="AJ751" s="94"/>
      <c r="AK751" s="94"/>
      <c r="AL751" s="94"/>
      <c r="AM751" s="94"/>
      <c r="AN751" s="94"/>
      <c r="AO751" s="94"/>
      <c r="AP751" s="94"/>
      <c r="AQ751" s="94"/>
      <c r="AR751" s="94"/>
      <c r="AS751" s="94"/>
    </row>
    <row r="752" spans="1: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94"/>
      <c r="AI752" s="94"/>
      <c r="AJ752" s="94"/>
      <c r="AK752" s="94"/>
      <c r="AL752" s="94"/>
      <c r="AM752" s="94"/>
      <c r="AN752" s="94"/>
      <c r="AO752" s="94"/>
      <c r="AP752" s="94"/>
      <c r="AQ752" s="94"/>
      <c r="AR752" s="94"/>
      <c r="AS752" s="94"/>
    </row>
    <row r="753" spans="1: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94"/>
      <c r="AI753" s="94"/>
      <c r="AJ753" s="94"/>
      <c r="AK753" s="94"/>
      <c r="AL753" s="94"/>
      <c r="AM753" s="94"/>
      <c r="AN753" s="94"/>
      <c r="AO753" s="94"/>
      <c r="AP753" s="94"/>
      <c r="AQ753" s="94"/>
      <c r="AR753" s="94"/>
      <c r="AS753" s="94"/>
    </row>
    <row r="754" spans="1: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94"/>
      <c r="AI754" s="94"/>
      <c r="AJ754" s="94"/>
      <c r="AK754" s="94"/>
      <c r="AL754" s="94"/>
      <c r="AM754" s="94"/>
      <c r="AN754" s="94"/>
      <c r="AO754" s="94"/>
      <c r="AP754" s="94"/>
      <c r="AQ754" s="94"/>
      <c r="AR754" s="94"/>
      <c r="AS754" s="94"/>
    </row>
    <row r="755" spans="1: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94"/>
      <c r="AI755" s="94"/>
      <c r="AJ755" s="94"/>
      <c r="AK755" s="94"/>
      <c r="AL755" s="94"/>
      <c r="AM755" s="94"/>
      <c r="AN755" s="94"/>
      <c r="AO755" s="94"/>
      <c r="AP755" s="94"/>
      <c r="AQ755" s="94"/>
      <c r="AR755" s="94"/>
      <c r="AS755" s="94"/>
    </row>
    <row r="756" spans="1: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94"/>
      <c r="AI756" s="94"/>
      <c r="AJ756" s="94"/>
      <c r="AK756" s="94"/>
      <c r="AL756" s="94"/>
      <c r="AM756" s="94"/>
      <c r="AN756" s="94"/>
      <c r="AO756" s="94"/>
      <c r="AP756" s="94"/>
      <c r="AQ756" s="94"/>
      <c r="AR756" s="94"/>
      <c r="AS756" s="94"/>
    </row>
    <row r="757" spans="1: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94"/>
      <c r="AI757" s="94"/>
      <c r="AJ757" s="94"/>
      <c r="AK757" s="94"/>
      <c r="AL757" s="94"/>
      <c r="AM757" s="94"/>
      <c r="AN757" s="94"/>
      <c r="AO757" s="94"/>
      <c r="AP757" s="94"/>
      <c r="AQ757" s="94"/>
      <c r="AR757" s="94"/>
      <c r="AS757" s="94"/>
    </row>
    <row r="758" spans="1: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94"/>
      <c r="AI758" s="94"/>
      <c r="AJ758" s="94"/>
      <c r="AK758" s="94"/>
      <c r="AL758" s="94"/>
      <c r="AM758" s="94"/>
      <c r="AN758" s="94"/>
      <c r="AO758" s="94"/>
      <c r="AP758" s="94"/>
      <c r="AQ758" s="94"/>
      <c r="AR758" s="94"/>
      <c r="AS758" s="94"/>
    </row>
    <row r="759" spans="1: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94"/>
      <c r="AI759" s="94"/>
      <c r="AJ759" s="94"/>
      <c r="AK759" s="94"/>
      <c r="AL759" s="94"/>
      <c r="AM759" s="94"/>
      <c r="AN759" s="94"/>
      <c r="AO759" s="94"/>
      <c r="AP759" s="94"/>
      <c r="AQ759" s="94"/>
      <c r="AR759" s="94"/>
      <c r="AS759" s="94"/>
    </row>
    <row r="760" spans="1: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94"/>
      <c r="AI760" s="94"/>
      <c r="AJ760" s="94"/>
      <c r="AK760" s="94"/>
      <c r="AL760" s="94"/>
      <c r="AM760" s="94"/>
      <c r="AN760" s="94"/>
      <c r="AO760" s="94"/>
      <c r="AP760" s="94"/>
      <c r="AQ760" s="94"/>
      <c r="AR760" s="94"/>
      <c r="AS760" s="94"/>
    </row>
    <row r="761" spans="1: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94"/>
      <c r="AI761" s="94"/>
      <c r="AJ761" s="94"/>
      <c r="AK761" s="94"/>
      <c r="AL761" s="94"/>
      <c r="AM761" s="94"/>
      <c r="AN761" s="94"/>
      <c r="AO761" s="94"/>
      <c r="AP761" s="94"/>
      <c r="AQ761" s="94"/>
      <c r="AR761" s="94"/>
      <c r="AS761" s="94"/>
    </row>
    <row r="762" spans="1: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94"/>
      <c r="AI762" s="94"/>
      <c r="AJ762" s="94"/>
      <c r="AK762" s="94"/>
      <c r="AL762" s="94"/>
      <c r="AM762" s="94"/>
      <c r="AN762" s="94"/>
      <c r="AO762" s="94"/>
      <c r="AP762" s="94"/>
      <c r="AQ762" s="94"/>
      <c r="AR762" s="94"/>
      <c r="AS762" s="94"/>
    </row>
    <row r="763" spans="1: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94"/>
      <c r="AI763" s="94"/>
      <c r="AJ763" s="94"/>
      <c r="AK763" s="94"/>
      <c r="AL763" s="94"/>
      <c r="AM763" s="94"/>
      <c r="AN763" s="94"/>
      <c r="AO763" s="94"/>
      <c r="AP763" s="94"/>
      <c r="AQ763" s="94"/>
      <c r="AR763" s="94"/>
      <c r="AS763" s="94"/>
    </row>
    <row r="764" spans="1: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94"/>
      <c r="AI764" s="94"/>
      <c r="AJ764" s="94"/>
      <c r="AK764" s="94"/>
      <c r="AL764" s="94"/>
      <c r="AM764" s="94"/>
      <c r="AN764" s="94"/>
      <c r="AO764" s="94"/>
      <c r="AP764" s="94"/>
      <c r="AQ764" s="94"/>
      <c r="AR764" s="94"/>
      <c r="AS764" s="94"/>
    </row>
    <row r="765" spans="1: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94"/>
      <c r="AI765" s="94"/>
      <c r="AJ765" s="94"/>
      <c r="AK765" s="94"/>
      <c r="AL765" s="94"/>
      <c r="AM765" s="94"/>
      <c r="AN765" s="94"/>
      <c r="AO765" s="94"/>
      <c r="AP765" s="94"/>
      <c r="AQ765" s="94"/>
      <c r="AR765" s="94"/>
      <c r="AS765" s="94"/>
    </row>
    <row r="766" spans="1: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94"/>
      <c r="AI766" s="94"/>
      <c r="AJ766" s="94"/>
      <c r="AK766" s="94"/>
      <c r="AL766" s="94"/>
      <c r="AM766" s="94"/>
      <c r="AN766" s="94"/>
      <c r="AO766" s="94"/>
      <c r="AP766" s="94"/>
      <c r="AQ766" s="94"/>
      <c r="AR766" s="94"/>
      <c r="AS766" s="94"/>
    </row>
    <row r="767" spans="1: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94"/>
      <c r="AI767" s="94"/>
      <c r="AJ767" s="94"/>
      <c r="AK767" s="94"/>
      <c r="AL767" s="94"/>
      <c r="AM767" s="94"/>
      <c r="AN767" s="94"/>
      <c r="AO767" s="94"/>
      <c r="AP767" s="94"/>
      <c r="AQ767" s="94"/>
      <c r="AR767" s="94"/>
      <c r="AS767" s="94"/>
    </row>
    <row r="768" spans="1: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94"/>
      <c r="AI768" s="94"/>
      <c r="AJ768" s="94"/>
      <c r="AK768" s="94"/>
      <c r="AL768" s="94"/>
      <c r="AM768" s="94"/>
      <c r="AN768" s="94"/>
      <c r="AO768" s="94"/>
      <c r="AP768" s="94"/>
      <c r="AQ768" s="94"/>
      <c r="AR768" s="94"/>
      <c r="AS768" s="94"/>
    </row>
    <row r="769" spans="1: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94"/>
      <c r="AI769" s="94"/>
      <c r="AJ769" s="94"/>
      <c r="AK769" s="94"/>
      <c r="AL769" s="94"/>
      <c r="AM769" s="94"/>
      <c r="AN769" s="94"/>
      <c r="AO769" s="94"/>
      <c r="AP769" s="94"/>
      <c r="AQ769" s="94"/>
      <c r="AR769" s="94"/>
      <c r="AS769" s="94"/>
    </row>
    <row r="770" spans="1: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94"/>
      <c r="AI770" s="94"/>
      <c r="AJ770" s="94"/>
      <c r="AK770" s="94"/>
      <c r="AL770" s="94"/>
      <c r="AM770" s="94"/>
      <c r="AN770" s="94"/>
      <c r="AO770" s="94"/>
      <c r="AP770" s="94"/>
      <c r="AQ770" s="94"/>
      <c r="AR770" s="94"/>
      <c r="AS770" s="94"/>
    </row>
    <row r="771" spans="1: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94"/>
      <c r="AI771" s="94"/>
      <c r="AJ771" s="94"/>
      <c r="AK771" s="94"/>
      <c r="AL771" s="94"/>
      <c r="AM771" s="94"/>
      <c r="AN771" s="94"/>
      <c r="AO771" s="94"/>
      <c r="AP771" s="94"/>
      <c r="AQ771" s="94"/>
      <c r="AR771" s="94"/>
      <c r="AS771" s="94"/>
    </row>
    <row r="772" spans="1: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94"/>
      <c r="AI772" s="94"/>
      <c r="AJ772" s="94"/>
      <c r="AK772" s="94"/>
      <c r="AL772" s="94"/>
      <c r="AM772" s="94"/>
      <c r="AN772" s="94"/>
      <c r="AO772" s="94"/>
      <c r="AP772" s="94"/>
      <c r="AQ772" s="94"/>
      <c r="AR772" s="94"/>
      <c r="AS772" s="94"/>
    </row>
    <row r="773" spans="1: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94"/>
      <c r="AI773" s="94"/>
      <c r="AJ773" s="94"/>
      <c r="AK773" s="94"/>
      <c r="AL773" s="94"/>
      <c r="AM773" s="94"/>
      <c r="AN773" s="94"/>
      <c r="AO773" s="94"/>
      <c r="AP773" s="94"/>
      <c r="AQ773" s="94"/>
      <c r="AR773" s="94"/>
      <c r="AS773" s="94"/>
    </row>
    <row r="774" spans="1: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94"/>
      <c r="AI774" s="94"/>
      <c r="AJ774" s="94"/>
      <c r="AK774" s="94"/>
      <c r="AL774" s="94"/>
      <c r="AM774" s="94"/>
      <c r="AN774" s="94"/>
      <c r="AO774" s="94"/>
      <c r="AP774" s="94"/>
      <c r="AQ774" s="94"/>
      <c r="AR774" s="94"/>
      <c r="AS774" s="94"/>
    </row>
    <row r="775" spans="1: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94"/>
      <c r="AI775" s="94"/>
      <c r="AJ775" s="94"/>
      <c r="AK775" s="94"/>
      <c r="AL775" s="94"/>
      <c r="AM775" s="94"/>
      <c r="AN775" s="94"/>
      <c r="AO775" s="94"/>
      <c r="AP775" s="94"/>
      <c r="AQ775" s="94"/>
      <c r="AR775" s="94"/>
      <c r="AS775" s="94"/>
    </row>
    <row r="776" spans="1: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94"/>
      <c r="AI776" s="94"/>
      <c r="AJ776" s="94"/>
      <c r="AK776" s="94"/>
      <c r="AL776" s="94"/>
      <c r="AM776" s="94"/>
      <c r="AN776" s="94"/>
      <c r="AO776" s="94"/>
      <c r="AP776" s="94"/>
      <c r="AQ776" s="94"/>
      <c r="AR776" s="94"/>
      <c r="AS776" s="94"/>
    </row>
    <row r="777" spans="1: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94"/>
      <c r="AI777" s="94"/>
      <c r="AJ777" s="94"/>
      <c r="AK777" s="94"/>
      <c r="AL777" s="94"/>
      <c r="AM777" s="94"/>
      <c r="AN777" s="94"/>
      <c r="AO777" s="94"/>
      <c r="AP777" s="94"/>
      <c r="AQ777" s="94"/>
      <c r="AR777" s="94"/>
      <c r="AS777" s="94"/>
    </row>
    <row r="778" spans="1: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94"/>
      <c r="AI778" s="94"/>
      <c r="AJ778" s="94"/>
      <c r="AK778" s="94"/>
      <c r="AL778" s="94"/>
      <c r="AM778" s="94"/>
      <c r="AN778" s="94"/>
      <c r="AO778" s="94"/>
      <c r="AP778" s="94"/>
      <c r="AQ778" s="94"/>
      <c r="AR778" s="94"/>
      <c r="AS778" s="94"/>
    </row>
    <row r="779" spans="1: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94"/>
      <c r="AI779" s="94"/>
      <c r="AJ779" s="94"/>
      <c r="AK779" s="94"/>
      <c r="AL779" s="94"/>
      <c r="AM779" s="94"/>
      <c r="AN779" s="94"/>
      <c r="AO779" s="94"/>
      <c r="AP779" s="94"/>
      <c r="AQ779" s="94"/>
      <c r="AR779" s="94"/>
      <c r="AS779" s="94"/>
    </row>
    <row r="780" spans="1: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94"/>
      <c r="AI780" s="94"/>
      <c r="AJ780" s="94"/>
      <c r="AK780" s="94"/>
      <c r="AL780" s="94"/>
      <c r="AM780" s="94"/>
      <c r="AN780" s="94"/>
      <c r="AO780" s="94"/>
      <c r="AP780" s="94"/>
      <c r="AQ780" s="94"/>
      <c r="AR780" s="94"/>
      <c r="AS780" s="94"/>
    </row>
    <row r="781" spans="1: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94"/>
      <c r="AI781" s="94"/>
      <c r="AJ781" s="94"/>
      <c r="AK781" s="94"/>
      <c r="AL781" s="94"/>
      <c r="AM781" s="94"/>
      <c r="AN781" s="94"/>
      <c r="AO781" s="94"/>
      <c r="AP781" s="94"/>
      <c r="AQ781" s="94"/>
      <c r="AR781" s="94"/>
      <c r="AS781" s="94"/>
    </row>
    <row r="782" spans="1: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94"/>
      <c r="AI782" s="94"/>
      <c r="AJ782" s="94"/>
      <c r="AK782" s="94"/>
      <c r="AL782" s="94"/>
      <c r="AM782" s="94"/>
      <c r="AN782" s="94"/>
      <c r="AO782" s="94"/>
      <c r="AP782" s="94"/>
      <c r="AQ782" s="94"/>
      <c r="AR782" s="94"/>
      <c r="AS782" s="94"/>
    </row>
    <row r="783" spans="1: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94"/>
      <c r="AI783" s="94"/>
      <c r="AJ783" s="94"/>
      <c r="AK783" s="94"/>
      <c r="AL783" s="94"/>
      <c r="AM783" s="94"/>
      <c r="AN783" s="94"/>
      <c r="AO783" s="94"/>
      <c r="AP783" s="94"/>
      <c r="AQ783" s="94"/>
      <c r="AR783" s="94"/>
      <c r="AS783" s="94"/>
    </row>
    <row r="784" spans="1: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94"/>
      <c r="AI784" s="94"/>
      <c r="AJ784" s="94"/>
      <c r="AK784" s="94"/>
      <c r="AL784" s="94"/>
      <c r="AM784" s="94"/>
      <c r="AN784" s="94"/>
      <c r="AO784" s="94"/>
      <c r="AP784" s="94"/>
      <c r="AQ784" s="94"/>
      <c r="AR784" s="94"/>
      <c r="AS784" s="94"/>
    </row>
    <row r="785" spans="1: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94"/>
      <c r="AI785" s="94"/>
      <c r="AJ785" s="94"/>
      <c r="AK785" s="94"/>
      <c r="AL785" s="94"/>
      <c r="AM785" s="94"/>
      <c r="AN785" s="94"/>
      <c r="AO785" s="94"/>
      <c r="AP785" s="94"/>
      <c r="AQ785" s="94"/>
      <c r="AR785" s="94"/>
      <c r="AS785" s="94"/>
    </row>
    <row r="786" spans="1: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94"/>
      <c r="AI786" s="94"/>
      <c r="AJ786" s="94"/>
      <c r="AK786" s="94"/>
      <c r="AL786" s="94"/>
      <c r="AM786" s="94"/>
      <c r="AN786" s="94"/>
      <c r="AO786" s="94"/>
      <c r="AP786" s="94"/>
      <c r="AQ786" s="94"/>
      <c r="AR786" s="94"/>
      <c r="AS786" s="94"/>
    </row>
    <row r="787" spans="1: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94"/>
      <c r="AI787" s="94"/>
      <c r="AJ787" s="94"/>
      <c r="AK787" s="94"/>
      <c r="AL787" s="94"/>
      <c r="AM787" s="94"/>
      <c r="AN787" s="94"/>
      <c r="AO787" s="94"/>
      <c r="AP787" s="94"/>
      <c r="AQ787" s="94"/>
      <c r="AR787" s="94"/>
      <c r="AS787" s="94"/>
    </row>
    <row r="788" spans="1: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94"/>
      <c r="AI788" s="94"/>
      <c r="AJ788" s="94"/>
      <c r="AK788" s="94"/>
      <c r="AL788" s="94"/>
      <c r="AM788" s="94"/>
      <c r="AN788" s="94"/>
      <c r="AO788" s="94"/>
      <c r="AP788" s="94"/>
      <c r="AQ788" s="94"/>
      <c r="AR788" s="94"/>
      <c r="AS788" s="94"/>
    </row>
    <row r="789" spans="1: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94"/>
      <c r="AI789" s="94"/>
      <c r="AJ789" s="94"/>
      <c r="AK789" s="94"/>
      <c r="AL789" s="94"/>
      <c r="AM789" s="94"/>
      <c r="AN789" s="94"/>
      <c r="AO789" s="94"/>
      <c r="AP789" s="94"/>
      <c r="AQ789" s="94"/>
      <c r="AR789" s="94"/>
      <c r="AS789" s="94"/>
    </row>
    <row r="790" spans="1: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94"/>
      <c r="AI790" s="94"/>
      <c r="AJ790" s="94"/>
      <c r="AK790" s="94"/>
      <c r="AL790" s="94"/>
      <c r="AM790" s="94"/>
      <c r="AN790" s="94"/>
      <c r="AO790" s="94"/>
      <c r="AP790" s="94"/>
      <c r="AQ790" s="94"/>
      <c r="AR790" s="94"/>
      <c r="AS790" s="94"/>
    </row>
    <row r="791" spans="1: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94"/>
      <c r="AI791" s="94"/>
      <c r="AJ791" s="94"/>
      <c r="AK791" s="94"/>
      <c r="AL791" s="94"/>
      <c r="AM791" s="94"/>
      <c r="AN791" s="94"/>
      <c r="AO791" s="94"/>
      <c r="AP791" s="94"/>
      <c r="AQ791" s="94"/>
      <c r="AR791" s="94"/>
      <c r="AS791" s="94"/>
    </row>
    <row r="792" spans="1: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94"/>
      <c r="AI792" s="94"/>
      <c r="AJ792" s="94"/>
      <c r="AK792" s="94"/>
      <c r="AL792" s="94"/>
      <c r="AM792" s="94"/>
      <c r="AN792" s="94"/>
      <c r="AO792" s="94"/>
      <c r="AP792" s="94"/>
      <c r="AQ792" s="94"/>
      <c r="AR792" s="94"/>
      <c r="AS792" s="94"/>
    </row>
    <row r="793" spans="1: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94"/>
      <c r="AI793" s="94"/>
      <c r="AJ793" s="94"/>
      <c r="AK793" s="94"/>
      <c r="AL793" s="94"/>
      <c r="AM793" s="94"/>
      <c r="AN793" s="94"/>
      <c r="AO793" s="94"/>
      <c r="AP793" s="94"/>
      <c r="AQ793" s="94"/>
      <c r="AR793" s="94"/>
      <c r="AS793" s="94"/>
    </row>
    <row r="794" spans="1: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94"/>
      <c r="AI794" s="94"/>
      <c r="AJ794" s="94"/>
      <c r="AK794" s="94"/>
      <c r="AL794" s="94"/>
      <c r="AM794" s="94"/>
      <c r="AN794" s="94"/>
      <c r="AO794" s="94"/>
      <c r="AP794" s="94"/>
      <c r="AQ794" s="94"/>
      <c r="AR794" s="94"/>
      <c r="AS794" s="94"/>
    </row>
    <row r="795" spans="1: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94"/>
      <c r="AI795" s="94"/>
      <c r="AJ795" s="94"/>
      <c r="AK795" s="94"/>
      <c r="AL795" s="94"/>
      <c r="AM795" s="94"/>
      <c r="AN795" s="94"/>
      <c r="AO795" s="94"/>
      <c r="AP795" s="94"/>
      <c r="AQ795" s="94"/>
      <c r="AR795" s="94"/>
      <c r="AS795" s="94"/>
    </row>
    <row r="796" spans="1: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94"/>
      <c r="AI796" s="94"/>
      <c r="AJ796" s="94"/>
      <c r="AK796" s="94"/>
      <c r="AL796" s="94"/>
      <c r="AM796" s="94"/>
      <c r="AN796" s="94"/>
      <c r="AO796" s="94"/>
      <c r="AP796" s="94"/>
      <c r="AQ796" s="94"/>
      <c r="AR796" s="94"/>
      <c r="AS796" s="94"/>
    </row>
    <row r="797" spans="1: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94"/>
      <c r="AI797" s="94"/>
      <c r="AJ797" s="94"/>
      <c r="AK797" s="94"/>
      <c r="AL797" s="94"/>
      <c r="AM797" s="94"/>
      <c r="AN797" s="94"/>
      <c r="AO797" s="94"/>
      <c r="AP797" s="94"/>
      <c r="AQ797" s="94"/>
      <c r="AR797" s="94"/>
      <c r="AS797" s="94"/>
    </row>
    <row r="798" spans="1: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94"/>
      <c r="AI798" s="94"/>
      <c r="AJ798" s="94"/>
      <c r="AK798" s="94"/>
      <c r="AL798" s="94"/>
      <c r="AM798" s="94"/>
      <c r="AN798" s="94"/>
      <c r="AO798" s="94"/>
      <c r="AP798" s="94"/>
      <c r="AQ798" s="94"/>
      <c r="AR798" s="94"/>
      <c r="AS798" s="94"/>
    </row>
    <row r="799" spans="1: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94"/>
      <c r="AI799" s="94"/>
      <c r="AJ799" s="94"/>
      <c r="AK799" s="94"/>
      <c r="AL799" s="94"/>
      <c r="AM799" s="94"/>
      <c r="AN799" s="94"/>
      <c r="AO799" s="94"/>
      <c r="AP799" s="94"/>
      <c r="AQ799" s="94"/>
      <c r="AR799" s="94"/>
      <c r="AS799" s="94"/>
    </row>
    <row r="800" spans="1: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94"/>
      <c r="AI800" s="94"/>
      <c r="AJ800" s="94"/>
      <c r="AK800" s="94"/>
      <c r="AL800" s="94"/>
      <c r="AM800" s="94"/>
      <c r="AN800" s="94"/>
      <c r="AO800" s="94"/>
      <c r="AP800" s="94"/>
      <c r="AQ800" s="94"/>
      <c r="AR800" s="94"/>
      <c r="AS800" s="94"/>
    </row>
    <row r="801" spans="1: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94"/>
      <c r="AI801" s="94"/>
      <c r="AJ801" s="94"/>
      <c r="AK801" s="94"/>
      <c r="AL801" s="94"/>
      <c r="AM801" s="94"/>
      <c r="AN801" s="94"/>
      <c r="AO801" s="94"/>
      <c r="AP801" s="94"/>
      <c r="AQ801" s="94"/>
      <c r="AR801" s="94"/>
      <c r="AS801" s="94"/>
    </row>
    <row r="802" spans="1: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94"/>
      <c r="AI802" s="94"/>
      <c r="AJ802" s="94"/>
      <c r="AK802" s="94"/>
      <c r="AL802" s="94"/>
      <c r="AM802" s="94"/>
      <c r="AN802" s="94"/>
      <c r="AO802" s="94"/>
      <c r="AP802" s="94"/>
      <c r="AQ802" s="94"/>
      <c r="AR802" s="94"/>
      <c r="AS802" s="94"/>
    </row>
    <row r="803" spans="1: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94"/>
      <c r="AI803" s="94"/>
      <c r="AJ803" s="94"/>
      <c r="AK803" s="94"/>
      <c r="AL803" s="94"/>
      <c r="AM803" s="94"/>
      <c r="AN803" s="94"/>
      <c r="AO803" s="94"/>
      <c r="AP803" s="94"/>
      <c r="AQ803" s="94"/>
      <c r="AR803" s="94"/>
      <c r="AS803" s="94"/>
    </row>
    <row r="804" spans="1: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94"/>
      <c r="AI804" s="94"/>
      <c r="AJ804" s="94"/>
      <c r="AK804" s="94"/>
      <c r="AL804" s="94"/>
      <c r="AM804" s="94"/>
      <c r="AN804" s="94"/>
      <c r="AO804" s="94"/>
      <c r="AP804" s="94"/>
      <c r="AQ804" s="94"/>
      <c r="AR804" s="94"/>
      <c r="AS804" s="94"/>
    </row>
    <row r="805" spans="1: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94"/>
      <c r="AI805" s="94"/>
      <c r="AJ805" s="94"/>
      <c r="AK805" s="94"/>
      <c r="AL805" s="94"/>
      <c r="AM805" s="94"/>
      <c r="AN805" s="94"/>
      <c r="AO805" s="94"/>
      <c r="AP805" s="94"/>
      <c r="AQ805" s="94"/>
      <c r="AR805" s="94"/>
      <c r="AS805" s="94"/>
    </row>
    <row r="806" spans="1: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94"/>
      <c r="AI806" s="94"/>
      <c r="AJ806" s="94"/>
      <c r="AK806" s="94"/>
      <c r="AL806" s="94"/>
      <c r="AM806" s="94"/>
      <c r="AN806" s="94"/>
      <c r="AO806" s="94"/>
      <c r="AP806" s="94"/>
      <c r="AQ806" s="94"/>
      <c r="AR806" s="94"/>
      <c r="AS806" s="94"/>
    </row>
    <row r="807" spans="1: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94"/>
      <c r="AI807" s="94"/>
      <c r="AJ807" s="94"/>
      <c r="AK807" s="94"/>
      <c r="AL807" s="94"/>
      <c r="AM807" s="94"/>
      <c r="AN807" s="94"/>
      <c r="AO807" s="94"/>
      <c r="AP807" s="94"/>
      <c r="AQ807" s="94"/>
      <c r="AR807" s="94"/>
      <c r="AS807" s="94"/>
    </row>
    <row r="808" spans="1: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94"/>
      <c r="AI808" s="94"/>
      <c r="AJ808" s="94"/>
      <c r="AK808" s="94"/>
      <c r="AL808" s="94"/>
      <c r="AM808" s="94"/>
      <c r="AN808" s="94"/>
      <c r="AO808" s="94"/>
      <c r="AP808" s="94"/>
      <c r="AQ808" s="94"/>
      <c r="AR808" s="94"/>
      <c r="AS808" s="94"/>
    </row>
    <row r="809" spans="1: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94"/>
      <c r="AI809" s="94"/>
      <c r="AJ809" s="94"/>
      <c r="AK809" s="94"/>
      <c r="AL809" s="94"/>
      <c r="AM809" s="94"/>
      <c r="AN809" s="94"/>
      <c r="AO809" s="94"/>
      <c r="AP809" s="94"/>
      <c r="AQ809" s="94"/>
      <c r="AR809" s="94"/>
      <c r="AS809" s="94"/>
    </row>
    <row r="810" spans="1: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94"/>
      <c r="AI810" s="94"/>
      <c r="AJ810" s="94"/>
      <c r="AK810" s="94"/>
      <c r="AL810" s="94"/>
      <c r="AM810" s="94"/>
      <c r="AN810" s="94"/>
      <c r="AO810" s="94"/>
      <c r="AP810" s="94"/>
      <c r="AQ810" s="94"/>
      <c r="AR810" s="94"/>
      <c r="AS810" s="94"/>
    </row>
    <row r="811" spans="1: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94"/>
      <c r="AI811" s="94"/>
      <c r="AJ811" s="94"/>
      <c r="AK811" s="94"/>
      <c r="AL811" s="94"/>
      <c r="AM811" s="94"/>
      <c r="AN811" s="94"/>
      <c r="AO811" s="94"/>
      <c r="AP811" s="94"/>
      <c r="AQ811" s="94"/>
      <c r="AR811" s="94"/>
      <c r="AS811" s="94"/>
    </row>
    <row r="812" spans="1: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94"/>
      <c r="AI812" s="94"/>
      <c r="AJ812" s="94"/>
      <c r="AK812" s="94"/>
      <c r="AL812" s="94"/>
      <c r="AM812" s="94"/>
      <c r="AN812" s="94"/>
      <c r="AO812" s="94"/>
      <c r="AP812" s="94"/>
      <c r="AQ812" s="94"/>
      <c r="AR812" s="94"/>
      <c r="AS812" s="94"/>
    </row>
    <row r="813" spans="1: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94"/>
      <c r="AI813" s="94"/>
      <c r="AJ813" s="94"/>
      <c r="AK813" s="94"/>
      <c r="AL813" s="94"/>
      <c r="AM813" s="94"/>
      <c r="AN813" s="94"/>
      <c r="AO813" s="94"/>
      <c r="AP813" s="94"/>
      <c r="AQ813" s="94"/>
      <c r="AR813" s="94"/>
      <c r="AS813" s="94"/>
    </row>
    <row r="814" spans="1: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94"/>
      <c r="AI814" s="94"/>
      <c r="AJ814" s="94"/>
      <c r="AK814" s="94"/>
      <c r="AL814" s="94"/>
      <c r="AM814" s="94"/>
      <c r="AN814" s="94"/>
      <c r="AO814" s="94"/>
      <c r="AP814" s="94"/>
      <c r="AQ814" s="94"/>
      <c r="AR814" s="94"/>
      <c r="AS814" s="94"/>
    </row>
    <row r="815" spans="1: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94"/>
      <c r="AI815" s="94"/>
      <c r="AJ815" s="94"/>
      <c r="AK815" s="94"/>
      <c r="AL815" s="94"/>
      <c r="AM815" s="94"/>
      <c r="AN815" s="94"/>
      <c r="AO815" s="94"/>
      <c r="AP815" s="94"/>
      <c r="AQ815" s="94"/>
      <c r="AR815" s="94"/>
      <c r="AS815" s="94"/>
    </row>
    <row r="816" spans="1: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94"/>
      <c r="AI816" s="94"/>
      <c r="AJ816" s="94"/>
      <c r="AK816" s="94"/>
      <c r="AL816" s="94"/>
      <c r="AM816" s="94"/>
      <c r="AN816" s="94"/>
      <c r="AO816" s="94"/>
      <c r="AP816" s="94"/>
      <c r="AQ816" s="94"/>
      <c r="AR816" s="94"/>
      <c r="AS816" s="94"/>
    </row>
    <row r="817" spans="1: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94"/>
      <c r="AI817" s="94"/>
      <c r="AJ817" s="94"/>
      <c r="AK817" s="94"/>
      <c r="AL817" s="94"/>
      <c r="AM817" s="94"/>
      <c r="AN817" s="94"/>
      <c r="AO817" s="94"/>
      <c r="AP817" s="94"/>
      <c r="AQ817" s="94"/>
      <c r="AR817" s="94"/>
      <c r="AS817" s="94"/>
    </row>
    <row r="818" spans="1: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94"/>
      <c r="AI818" s="94"/>
      <c r="AJ818" s="94"/>
      <c r="AK818" s="94"/>
      <c r="AL818" s="94"/>
      <c r="AM818" s="94"/>
      <c r="AN818" s="94"/>
      <c r="AO818" s="94"/>
      <c r="AP818" s="94"/>
      <c r="AQ818" s="94"/>
      <c r="AR818" s="94"/>
      <c r="AS818" s="94"/>
    </row>
    <row r="819" spans="1: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94"/>
      <c r="AI819" s="94"/>
      <c r="AJ819" s="94"/>
      <c r="AK819" s="94"/>
      <c r="AL819" s="94"/>
      <c r="AM819" s="94"/>
      <c r="AN819" s="94"/>
      <c r="AO819" s="94"/>
      <c r="AP819" s="94"/>
      <c r="AQ819" s="94"/>
      <c r="AR819" s="94"/>
      <c r="AS819" s="94"/>
    </row>
    <row r="820" spans="1: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94"/>
      <c r="AI820" s="94"/>
      <c r="AJ820" s="94"/>
      <c r="AK820" s="94"/>
      <c r="AL820" s="94"/>
      <c r="AM820" s="94"/>
      <c r="AN820" s="94"/>
      <c r="AO820" s="94"/>
      <c r="AP820" s="94"/>
      <c r="AQ820" s="94"/>
      <c r="AR820" s="94"/>
      <c r="AS820" s="94"/>
    </row>
    <row r="821" spans="1: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94"/>
      <c r="AI821" s="94"/>
      <c r="AJ821" s="94"/>
      <c r="AK821" s="94"/>
      <c r="AL821" s="94"/>
      <c r="AM821" s="94"/>
      <c r="AN821" s="94"/>
      <c r="AO821" s="94"/>
      <c r="AP821" s="94"/>
      <c r="AQ821" s="94"/>
      <c r="AR821" s="94"/>
      <c r="AS821" s="94"/>
    </row>
    <row r="822" spans="1: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94"/>
      <c r="AI822" s="94"/>
      <c r="AJ822" s="94"/>
      <c r="AK822" s="94"/>
      <c r="AL822" s="94"/>
      <c r="AM822" s="94"/>
      <c r="AN822" s="94"/>
      <c r="AO822" s="94"/>
      <c r="AP822" s="94"/>
      <c r="AQ822" s="94"/>
      <c r="AR822" s="94"/>
      <c r="AS822" s="94"/>
    </row>
    <row r="823" spans="1: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94"/>
      <c r="AI823" s="94"/>
      <c r="AJ823" s="94"/>
      <c r="AK823" s="94"/>
      <c r="AL823" s="94"/>
      <c r="AM823" s="94"/>
      <c r="AN823" s="94"/>
      <c r="AO823" s="94"/>
      <c r="AP823" s="94"/>
      <c r="AQ823" s="94"/>
      <c r="AR823" s="94"/>
      <c r="AS823" s="94"/>
    </row>
    <row r="824" spans="1: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94"/>
      <c r="AI824" s="94"/>
      <c r="AJ824" s="94"/>
      <c r="AK824" s="94"/>
      <c r="AL824" s="94"/>
      <c r="AM824" s="94"/>
      <c r="AN824" s="94"/>
      <c r="AO824" s="94"/>
      <c r="AP824" s="94"/>
      <c r="AQ824" s="94"/>
      <c r="AR824" s="94"/>
      <c r="AS824" s="94"/>
    </row>
    <row r="825" spans="1: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94"/>
      <c r="AI825" s="94"/>
      <c r="AJ825" s="94"/>
      <c r="AK825" s="94"/>
      <c r="AL825" s="94"/>
      <c r="AM825" s="94"/>
      <c r="AN825" s="94"/>
      <c r="AO825" s="94"/>
      <c r="AP825" s="94"/>
      <c r="AQ825" s="94"/>
      <c r="AR825" s="94"/>
      <c r="AS825" s="94"/>
    </row>
    <row r="826" spans="1: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94"/>
      <c r="AI826" s="94"/>
      <c r="AJ826" s="94"/>
      <c r="AK826" s="94"/>
      <c r="AL826" s="94"/>
      <c r="AM826" s="94"/>
      <c r="AN826" s="94"/>
      <c r="AO826" s="94"/>
      <c r="AP826" s="94"/>
      <c r="AQ826" s="94"/>
      <c r="AR826" s="94"/>
      <c r="AS826" s="94"/>
    </row>
    <row r="827" spans="1: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94"/>
      <c r="AI827" s="94"/>
      <c r="AJ827" s="94"/>
      <c r="AK827" s="94"/>
      <c r="AL827" s="94"/>
      <c r="AM827" s="94"/>
      <c r="AN827" s="94"/>
      <c r="AO827" s="94"/>
      <c r="AP827" s="94"/>
      <c r="AQ827" s="94"/>
      <c r="AR827" s="94"/>
      <c r="AS827" s="94"/>
    </row>
    <row r="828" spans="1: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94"/>
      <c r="AI828" s="94"/>
      <c r="AJ828" s="94"/>
      <c r="AK828" s="94"/>
      <c r="AL828" s="94"/>
      <c r="AM828" s="94"/>
      <c r="AN828" s="94"/>
      <c r="AO828" s="94"/>
      <c r="AP828" s="94"/>
      <c r="AQ828" s="94"/>
      <c r="AR828" s="94"/>
      <c r="AS828" s="94"/>
    </row>
    <row r="829" spans="1: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94"/>
      <c r="AI829" s="94"/>
      <c r="AJ829" s="94"/>
      <c r="AK829" s="94"/>
      <c r="AL829" s="94"/>
      <c r="AM829" s="94"/>
      <c r="AN829" s="94"/>
      <c r="AO829" s="94"/>
      <c r="AP829" s="94"/>
      <c r="AQ829" s="94"/>
      <c r="AR829" s="94"/>
      <c r="AS829" s="94"/>
    </row>
    <row r="830" spans="1: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94"/>
      <c r="AI830" s="94"/>
      <c r="AJ830" s="94"/>
      <c r="AK830" s="94"/>
      <c r="AL830" s="94"/>
      <c r="AM830" s="94"/>
      <c r="AN830" s="94"/>
      <c r="AO830" s="94"/>
      <c r="AP830" s="94"/>
      <c r="AQ830" s="94"/>
      <c r="AR830" s="94"/>
      <c r="AS830" s="94"/>
    </row>
    <row r="831" spans="1: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94"/>
      <c r="AI831" s="94"/>
      <c r="AJ831" s="94"/>
      <c r="AK831" s="94"/>
      <c r="AL831" s="94"/>
      <c r="AM831" s="94"/>
      <c r="AN831" s="94"/>
      <c r="AO831" s="94"/>
      <c r="AP831" s="94"/>
      <c r="AQ831" s="94"/>
      <c r="AR831" s="94"/>
      <c r="AS831" s="94"/>
    </row>
    <row r="832" spans="1: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94"/>
      <c r="AI832" s="94"/>
      <c r="AJ832" s="94"/>
      <c r="AK832" s="94"/>
      <c r="AL832" s="94"/>
      <c r="AM832" s="94"/>
      <c r="AN832" s="94"/>
      <c r="AO832" s="94"/>
      <c r="AP832" s="94"/>
      <c r="AQ832" s="94"/>
      <c r="AR832" s="94"/>
      <c r="AS832" s="94"/>
    </row>
    <row r="833" spans="1: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94"/>
      <c r="AI833" s="94"/>
      <c r="AJ833" s="94"/>
      <c r="AK833" s="94"/>
      <c r="AL833" s="94"/>
      <c r="AM833" s="94"/>
      <c r="AN833" s="94"/>
      <c r="AO833" s="94"/>
      <c r="AP833" s="94"/>
      <c r="AQ833" s="94"/>
      <c r="AR833" s="94"/>
      <c r="AS833" s="94"/>
    </row>
    <row r="834" spans="1: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94"/>
      <c r="AI834" s="94"/>
      <c r="AJ834" s="94"/>
      <c r="AK834" s="94"/>
      <c r="AL834" s="94"/>
      <c r="AM834" s="94"/>
      <c r="AN834" s="94"/>
      <c r="AO834" s="94"/>
      <c r="AP834" s="94"/>
      <c r="AQ834" s="94"/>
      <c r="AR834" s="94"/>
      <c r="AS834" s="94"/>
    </row>
    <row r="835" spans="1: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94"/>
      <c r="AI835" s="94"/>
      <c r="AJ835" s="94"/>
      <c r="AK835" s="94"/>
      <c r="AL835" s="94"/>
      <c r="AM835" s="94"/>
      <c r="AN835" s="94"/>
      <c r="AO835" s="94"/>
      <c r="AP835" s="94"/>
      <c r="AQ835" s="94"/>
      <c r="AR835" s="94"/>
      <c r="AS835" s="94"/>
    </row>
    <row r="836" spans="1: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94"/>
      <c r="AI836" s="94"/>
      <c r="AJ836" s="94"/>
      <c r="AK836" s="94"/>
      <c r="AL836" s="94"/>
      <c r="AM836" s="94"/>
      <c r="AN836" s="94"/>
      <c r="AO836" s="94"/>
      <c r="AP836" s="94"/>
      <c r="AQ836" s="94"/>
      <c r="AR836" s="94"/>
      <c r="AS836" s="94"/>
    </row>
    <row r="837" spans="1: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94"/>
      <c r="AI837" s="94"/>
      <c r="AJ837" s="94"/>
      <c r="AK837" s="94"/>
      <c r="AL837" s="94"/>
      <c r="AM837" s="94"/>
      <c r="AN837" s="94"/>
      <c r="AO837" s="94"/>
      <c r="AP837" s="94"/>
      <c r="AQ837" s="94"/>
      <c r="AR837" s="94"/>
      <c r="AS837" s="94"/>
    </row>
    <row r="838" spans="1: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94"/>
      <c r="AI838" s="94"/>
      <c r="AJ838" s="94"/>
      <c r="AK838" s="94"/>
      <c r="AL838" s="94"/>
      <c r="AM838" s="94"/>
      <c r="AN838" s="94"/>
      <c r="AO838" s="94"/>
      <c r="AP838" s="94"/>
      <c r="AQ838" s="94"/>
      <c r="AR838" s="94"/>
      <c r="AS838" s="94"/>
    </row>
    <row r="839" spans="1: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94"/>
      <c r="AI839" s="94"/>
      <c r="AJ839" s="94"/>
      <c r="AK839" s="94"/>
      <c r="AL839" s="94"/>
      <c r="AM839" s="94"/>
      <c r="AN839" s="94"/>
      <c r="AO839" s="94"/>
      <c r="AP839" s="94"/>
      <c r="AQ839" s="94"/>
      <c r="AR839" s="94"/>
      <c r="AS839" s="94"/>
    </row>
    <row r="840" spans="1: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94"/>
      <c r="AI840" s="94"/>
      <c r="AJ840" s="94"/>
      <c r="AK840" s="94"/>
      <c r="AL840" s="94"/>
      <c r="AM840" s="94"/>
      <c r="AN840" s="94"/>
      <c r="AO840" s="94"/>
      <c r="AP840" s="94"/>
      <c r="AQ840" s="94"/>
      <c r="AR840" s="94"/>
      <c r="AS840" s="94"/>
    </row>
    <row r="841" spans="1: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94"/>
      <c r="AI841" s="94"/>
      <c r="AJ841" s="94"/>
      <c r="AK841" s="94"/>
      <c r="AL841" s="94"/>
      <c r="AM841" s="94"/>
      <c r="AN841" s="94"/>
      <c r="AO841" s="94"/>
      <c r="AP841" s="94"/>
      <c r="AQ841" s="94"/>
      <c r="AR841" s="94"/>
      <c r="AS841" s="94"/>
    </row>
    <row r="842" spans="1: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94"/>
      <c r="AI842" s="94"/>
      <c r="AJ842" s="94"/>
      <c r="AK842" s="94"/>
      <c r="AL842" s="94"/>
      <c r="AM842" s="94"/>
      <c r="AN842" s="94"/>
      <c r="AO842" s="94"/>
      <c r="AP842" s="94"/>
      <c r="AQ842" s="94"/>
      <c r="AR842" s="94"/>
      <c r="AS842" s="94"/>
    </row>
    <row r="843" spans="1: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94"/>
      <c r="AI843" s="94"/>
      <c r="AJ843" s="94"/>
      <c r="AK843" s="94"/>
      <c r="AL843" s="94"/>
      <c r="AM843" s="94"/>
      <c r="AN843" s="94"/>
      <c r="AO843" s="94"/>
      <c r="AP843" s="94"/>
      <c r="AQ843" s="94"/>
      <c r="AR843" s="94"/>
      <c r="AS843" s="94"/>
    </row>
    <row r="844" spans="1: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94"/>
      <c r="AI844" s="94"/>
      <c r="AJ844" s="94"/>
      <c r="AK844" s="94"/>
      <c r="AL844" s="94"/>
      <c r="AM844" s="94"/>
      <c r="AN844" s="94"/>
      <c r="AO844" s="94"/>
      <c r="AP844" s="94"/>
      <c r="AQ844" s="94"/>
      <c r="AR844" s="94"/>
      <c r="AS844" s="94"/>
    </row>
    <row r="845" spans="1: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94"/>
      <c r="AI845" s="94"/>
      <c r="AJ845" s="94"/>
      <c r="AK845" s="94"/>
      <c r="AL845" s="94"/>
      <c r="AM845" s="94"/>
      <c r="AN845" s="94"/>
      <c r="AO845" s="94"/>
      <c r="AP845" s="94"/>
      <c r="AQ845" s="94"/>
      <c r="AR845" s="94"/>
      <c r="AS845" s="94"/>
    </row>
    <row r="846" spans="1: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94"/>
      <c r="AI846" s="94"/>
      <c r="AJ846" s="94"/>
      <c r="AK846" s="94"/>
      <c r="AL846" s="94"/>
      <c r="AM846" s="94"/>
      <c r="AN846" s="94"/>
      <c r="AO846" s="94"/>
      <c r="AP846" s="94"/>
      <c r="AQ846" s="94"/>
      <c r="AR846" s="94"/>
      <c r="AS846" s="94"/>
    </row>
    <row r="847" spans="1: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94"/>
      <c r="AI847" s="94"/>
      <c r="AJ847" s="94"/>
      <c r="AK847" s="94"/>
      <c r="AL847" s="94"/>
      <c r="AM847" s="94"/>
      <c r="AN847" s="94"/>
      <c r="AO847" s="94"/>
      <c r="AP847" s="94"/>
      <c r="AQ847" s="94"/>
      <c r="AR847" s="94"/>
      <c r="AS847" s="94"/>
    </row>
    <row r="848" spans="1: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94"/>
      <c r="AI848" s="94"/>
      <c r="AJ848" s="94"/>
      <c r="AK848" s="94"/>
      <c r="AL848" s="94"/>
      <c r="AM848" s="94"/>
      <c r="AN848" s="94"/>
      <c r="AO848" s="94"/>
      <c r="AP848" s="94"/>
      <c r="AQ848" s="94"/>
      <c r="AR848" s="94"/>
      <c r="AS848" s="94"/>
    </row>
    <row r="849" spans="1: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94"/>
      <c r="AI849" s="94"/>
      <c r="AJ849" s="94"/>
      <c r="AK849" s="94"/>
      <c r="AL849" s="94"/>
      <c r="AM849" s="94"/>
      <c r="AN849" s="94"/>
      <c r="AO849" s="94"/>
      <c r="AP849" s="94"/>
      <c r="AQ849" s="94"/>
      <c r="AR849" s="94"/>
      <c r="AS849" s="94"/>
    </row>
    <row r="850" spans="1: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94"/>
      <c r="AI850" s="94"/>
      <c r="AJ850" s="94"/>
      <c r="AK850" s="94"/>
      <c r="AL850" s="94"/>
      <c r="AM850" s="94"/>
      <c r="AN850" s="94"/>
      <c r="AO850" s="94"/>
      <c r="AP850" s="94"/>
      <c r="AQ850" s="94"/>
      <c r="AR850" s="94"/>
      <c r="AS850" s="94"/>
    </row>
    <row r="851" spans="1: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94"/>
      <c r="AI851" s="94"/>
      <c r="AJ851" s="94"/>
      <c r="AK851" s="94"/>
      <c r="AL851" s="94"/>
      <c r="AM851" s="94"/>
      <c r="AN851" s="94"/>
      <c r="AO851" s="94"/>
      <c r="AP851" s="94"/>
      <c r="AQ851" s="94"/>
      <c r="AR851" s="94"/>
      <c r="AS851" s="94"/>
    </row>
    <row r="852" spans="1: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94"/>
      <c r="AI852" s="94"/>
      <c r="AJ852" s="94"/>
      <c r="AK852" s="94"/>
      <c r="AL852" s="94"/>
      <c r="AM852" s="94"/>
      <c r="AN852" s="94"/>
      <c r="AO852" s="94"/>
      <c r="AP852" s="94"/>
      <c r="AQ852" s="94"/>
      <c r="AR852" s="94"/>
      <c r="AS852" s="94"/>
    </row>
    <row r="853" spans="1: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94"/>
      <c r="AI853" s="94"/>
      <c r="AJ853" s="94"/>
      <c r="AK853" s="94"/>
      <c r="AL853" s="94"/>
      <c r="AM853" s="94"/>
      <c r="AN853" s="94"/>
      <c r="AO853" s="94"/>
      <c r="AP853" s="94"/>
      <c r="AQ853" s="94"/>
      <c r="AR853" s="94"/>
      <c r="AS853" s="94"/>
    </row>
    <row r="854" spans="1: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94"/>
      <c r="AI854" s="94"/>
      <c r="AJ854" s="94"/>
      <c r="AK854" s="94"/>
      <c r="AL854" s="94"/>
      <c r="AM854" s="94"/>
      <c r="AN854" s="94"/>
      <c r="AO854" s="94"/>
      <c r="AP854" s="94"/>
      <c r="AQ854" s="94"/>
      <c r="AR854" s="94"/>
      <c r="AS854" s="94"/>
    </row>
    <row r="855" spans="1: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94"/>
      <c r="AI855" s="94"/>
      <c r="AJ855" s="94"/>
      <c r="AK855" s="94"/>
      <c r="AL855" s="94"/>
      <c r="AM855" s="94"/>
      <c r="AN855" s="94"/>
      <c r="AO855" s="94"/>
      <c r="AP855" s="94"/>
      <c r="AQ855" s="94"/>
      <c r="AR855" s="94"/>
      <c r="AS855" s="94"/>
    </row>
    <row r="856" spans="1: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94"/>
      <c r="AI856" s="94"/>
      <c r="AJ856" s="94"/>
      <c r="AK856" s="94"/>
      <c r="AL856" s="94"/>
      <c r="AM856" s="94"/>
      <c r="AN856" s="94"/>
      <c r="AO856" s="94"/>
      <c r="AP856" s="94"/>
      <c r="AQ856" s="94"/>
      <c r="AR856" s="94"/>
      <c r="AS856" s="94"/>
    </row>
    <row r="857" spans="1: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94"/>
      <c r="AI857" s="94"/>
      <c r="AJ857" s="94"/>
      <c r="AK857" s="94"/>
      <c r="AL857" s="94"/>
      <c r="AM857" s="94"/>
      <c r="AN857" s="94"/>
      <c r="AO857" s="94"/>
      <c r="AP857" s="94"/>
      <c r="AQ857" s="94"/>
      <c r="AR857" s="94"/>
      <c r="AS857" s="94"/>
    </row>
    <row r="858" spans="1: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94"/>
      <c r="AI858" s="94"/>
      <c r="AJ858" s="94"/>
      <c r="AK858" s="94"/>
      <c r="AL858" s="94"/>
      <c r="AM858" s="94"/>
      <c r="AN858" s="94"/>
      <c r="AO858" s="94"/>
      <c r="AP858" s="94"/>
      <c r="AQ858" s="94"/>
      <c r="AR858" s="94"/>
      <c r="AS858" s="94"/>
    </row>
    <row r="859" spans="1: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94"/>
      <c r="AI859" s="94"/>
      <c r="AJ859" s="94"/>
      <c r="AK859" s="94"/>
      <c r="AL859" s="94"/>
      <c r="AM859" s="94"/>
      <c r="AN859" s="94"/>
      <c r="AO859" s="94"/>
      <c r="AP859" s="94"/>
      <c r="AQ859" s="94"/>
      <c r="AR859" s="94"/>
      <c r="AS859" s="94"/>
    </row>
    <row r="860" spans="1: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94"/>
      <c r="AI860" s="94"/>
      <c r="AJ860" s="94"/>
      <c r="AK860" s="94"/>
      <c r="AL860" s="94"/>
      <c r="AM860" s="94"/>
      <c r="AN860" s="94"/>
      <c r="AO860" s="94"/>
      <c r="AP860" s="94"/>
      <c r="AQ860" s="94"/>
      <c r="AR860" s="94"/>
      <c r="AS860" s="94"/>
    </row>
    <row r="861" spans="1: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94"/>
      <c r="AI861" s="94"/>
      <c r="AJ861" s="94"/>
      <c r="AK861" s="94"/>
      <c r="AL861" s="94"/>
      <c r="AM861" s="94"/>
      <c r="AN861" s="94"/>
      <c r="AO861" s="94"/>
      <c r="AP861" s="94"/>
      <c r="AQ861" s="94"/>
      <c r="AR861" s="94"/>
      <c r="AS861" s="94"/>
    </row>
    <row r="862" spans="1: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94"/>
      <c r="AI862" s="94"/>
      <c r="AJ862" s="94"/>
      <c r="AK862" s="94"/>
      <c r="AL862" s="94"/>
      <c r="AM862" s="94"/>
      <c r="AN862" s="94"/>
      <c r="AO862" s="94"/>
      <c r="AP862" s="94"/>
      <c r="AQ862" s="94"/>
      <c r="AR862" s="94"/>
      <c r="AS862" s="94"/>
    </row>
    <row r="863" spans="1: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94"/>
      <c r="AI863" s="94"/>
      <c r="AJ863" s="94"/>
      <c r="AK863" s="94"/>
      <c r="AL863" s="94"/>
      <c r="AM863" s="94"/>
      <c r="AN863" s="94"/>
      <c r="AO863" s="94"/>
      <c r="AP863" s="94"/>
      <c r="AQ863" s="94"/>
      <c r="AR863" s="94"/>
      <c r="AS863" s="94"/>
    </row>
    <row r="864" spans="1: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94"/>
      <c r="AI864" s="94"/>
      <c r="AJ864" s="94"/>
      <c r="AK864" s="94"/>
      <c r="AL864" s="94"/>
      <c r="AM864" s="94"/>
      <c r="AN864" s="94"/>
      <c r="AO864" s="94"/>
      <c r="AP864" s="94"/>
      <c r="AQ864" s="94"/>
      <c r="AR864" s="94"/>
      <c r="AS864" s="94"/>
    </row>
    <row r="865" spans="1: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94"/>
      <c r="AI865" s="94"/>
      <c r="AJ865" s="94"/>
      <c r="AK865" s="94"/>
      <c r="AL865" s="94"/>
      <c r="AM865" s="94"/>
      <c r="AN865" s="94"/>
      <c r="AO865" s="94"/>
      <c r="AP865" s="94"/>
      <c r="AQ865" s="94"/>
      <c r="AR865" s="94"/>
      <c r="AS865" s="94"/>
    </row>
    <row r="866" spans="1: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94"/>
      <c r="AI866" s="94"/>
      <c r="AJ866" s="94"/>
      <c r="AK866" s="94"/>
      <c r="AL866" s="94"/>
      <c r="AM866" s="94"/>
      <c r="AN866" s="94"/>
      <c r="AO866" s="94"/>
      <c r="AP866" s="94"/>
      <c r="AQ866" s="94"/>
      <c r="AR866" s="94"/>
      <c r="AS866" s="94"/>
    </row>
    <row r="867" spans="1: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94"/>
      <c r="AI867" s="94"/>
      <c r="AJ867" s="94"/>
      <c r="AK867" s="94"/>
      <c r="AL867" s="94"/>
      <c r="AM867" s="94"/>
      <c r="AN867" s="94"/>
      <c r="AO867" s="94"/>
      <c r="AP867" s="94"/>
      <c r="AQ867" s="94"/>
      <c r="AR867" s="94"/>
      <c r="AS867" s="94"/>
    </row>
    <row r="868" spans="1: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94"/>
      <c r="AI868" s="94"/>
      <c r="AJ868" s="94"/>
      <c r="AK868" s="94"/>
      <c r="AL868" s="94"/>
      <c r="AM868" s="94"/>
      <c r="AN868" s="94"/>
      <c r="AO868" s="94"/>
      <c r="AP868" s="94"/>
      <c r="AQ868" s="94"/>
      <c r="AR868" s="94"/>
      <c r="AS868" s="94"/>
    </row>
    <row r="869" spans="1: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94"/>
      <c r="AI869" s="94"/>
      <c r="AJ869" s="94"/>
      <c r="AK869" s="94"/>
      <c r="AL869" s="94"/>
      <c r="AM869" s="94"/>
      <c r="AN869" s="94"/>
      <c r="AO869" s="94"/>
      <c r="AP869" s="94"/>
      <c r="AQ869" s="94"/>
      <c r="AR869" s="94"/>
      <c r="AS869" s="94"/>
    </row>
    <row r="870" spans="1: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94"/>
      <c r="AI870" s="94"/>
      <c r="AJ870" s="94"/>
      <c r="AK870" s="94"/>
      <c r="AL870" s="94"/>
      <c r="AM870" s="94"/>
      <c r="AN870" s="94"/>
      <c r="AO870" s="94"/>
      <c r="AP870" s="94"/>
      <c r="AQ870" s="94"/>
      <c r="AR870" s="94"/>
      <c r="AS870" s="94"/>
    </row>
    <row r="871" spans="1: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94"/>
      <c r="AI871" s="94"/>
      <c r="AJ871" s="94"/>
      <c r="AK871" s="94"/>
      <c r="AL871" s="94"/>
      <c r="AM871" s="94"/>
      <c r="AN871" s="94"/>
      <c r="AO871" s="94"/>
      <c r="AP871" s="94"/>
      <c r="AQ871" s="94"/>
      <c r="AR871" s="94"/>
      <c r="AS871" s="94"/>
    </row>
    <row r="872" spans="1: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94"/>
      <c r="AI872" s="94"/>
      <c r="AJ872" s="94"/>
      <c r="AK872" s="94"/>
      <c r="AL872" s="94"/>
      <c r="AM872" s="94"/>
      <c r="AN872" s="94"/>
      <c r="AO872" s="94"/>
      <c r="AP872" s="94"/>
      <c r="AQ872" s="94"/>
      <c r="AR872" s="94"/>
      <c r="AS872" s="94"/>
    </row>
    <row r="873" spans="1: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94"/>
      <c r="AI873" s="94"/>
      <c r="AJ873" s="94"/>
      <c r="AK873" s="94"/>
      <c r="AL873" s="94"/>
      <c r="AM873" s="94"/>
      <c r="AN873" s="94"/>
      <c r="AO873" s="94"/>
      <c r="AP873" s="94"/>
      <c r="AQ873" s="94"/>
      <c r="AR873" s="94"/>
      <c r="AS873" s="94"/>
    </row>
    <row r="874" spans="1: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94"/>
      <c r="AI874" s="94"/>
      <c r="AJ874" s="94"/>
      <c r="AK874" s="94"/>
      <c r="AL874" s="94"/>
      <c r="AM874" s="94"/>
      <c r="AN874" s="94"/>
      <c r="AO874" s="94"/>
      <c r="AP874" s="94"/>
      <c r="AQ874" s="94"/>
      <c r="AR874" s="94"/>
      <c r="AS874" s="94"/>
    </row>
    <row r="875" spans="1: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94"/>
      <c r="AI875" s="94"/>
      <c r="AJ875" s="94"/>
      <c r="AK875" s="94"/>
      <c r="AL875" s="94"/>
      <c r="AM875" s="94"/>
      <c r="AN875" s="94"/>
      <c r="AO875" s="94"/>
      <c r="AP875" s="94"/>
      <c r="AQ875" s="94"/>
      <c r="AR875" s="94"/>
      <c r="AS875" s="94"/>
    </row>
    <row r="876" spans="1: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94"/>
      <c r="AI876" s="94"/>
      <c r="AJ876" s="94"/>
      <c r="AK876" s="94"/>
      <c r="AL876" s="94"/>
      <c r="AM876" s="94"/>
      <c r="AN876" s="94"/>
      <c r="AO876" s="94"/>
      <c r="AP876" s="94"/>
      <c r="AQ876" s="94"/>
      <c r="AR876" s="94"/>
      <c r="AS876" s="94"/>
    </row>
    <row r="877" spans="1: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94"/>
      <c r="AI877" s="94"/>
      <c r="AJ877" s="94"/>
      <c r="AK877" s="94"/>
      <c r="AL877" s="94"/>
      <c r="AM877" s="94"/>
      <c r="AN877" s="94"/>
      <c r="AO877" s="94"/>
      <c r="AP877" s="94"/>
      <c r="AQ877" s="94"/>
      <c r="AR877" s="94"/>
      <c r="AS877" s="94"/>
    </row>
    <row r="878" spans="1: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94"/>
      <c r="AI878" s="94"/>
      <c r="AJ878" s="94"/>
      <c r="AK878" s="94"/>
      <c r="AL878" s="94"/>
      <c r="AM878" s="94"/>
      <c r="AN878" s="94"/>
      <c r="AO878" s="94"/>
      <c r="AP878" s="94"/>
      <c r="AQ878" s="94"/>
      <c r="AR878" s="94"/>
      <c r="AS878" s="94"/>
    </row>
    <row r="879" spans="1: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94"/>
      <c r="AI879" s="94"/>
      <c r="AJ879" s="94"/>
      <c r="AK879" s="94"/>
      <c r="AL879" s="94"/>
      <c r="AM879" s="94"/>
      <c r="AN879" s="94"/>
      <c r="AO879" s="94"/>
      <c r="AP879" s="94"/>
      <c r="AQ879" s="94"/>
      <c r="AR879" s="94"/>
      <c r="AS879" s="94"/>
    </row>
    <row r="880" spans="1: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94"/>
      <c r="AI880" s="94"/>
      <c r="AJ880" s="94"/>
      <c r="AK880" s="94"/>
      <c r="AL880" s="94"/>
      <c r="AM880" s="94"/>
      <c r="AN880" s="94"/>
      <c r="AO880" s="94"/>
      <c r="AP880" s="94"/>
      <c r="AQ880" s="94"/>
      <c r="AR880" s="94"/>
      <c r="AS880" s="94"/>
    </row>
    <row r="881" spans="1: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94"/>
      <c r="AI881" s="94"/>
      <c r="AJ881" s="94"/>
      <c r="AK881" s="94"/>
      <c r="AL881" s="94"/>
      <c r="AM881" s="94"/>
      <c r="AN881" s="94"/>
      <c r="AO881" s="94"/>
      <c r="AP881" s="94"/>
      <c r="AQ881" s="94"/>
      <c r="AR881" s="94"/>
      <c r="AS881" s="94"/>
    </row>
    <row r="882" spans="1: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94"/>
      <c r="AI882" s="94"/>
      <c r="AJ882" s="94"/>
      <c r="AK882" s="94"/>
      <c r="AL882" s="94"/>
      <c r="AM882" s="94"/>
      <c r="AN882" s="94"/>
      <c r="AO882" s="94"/>
      <c r="AP882" s="94"/>
      <c r="AQ882" s="94"/>
      <c r="AR882" s="94"/>
      <c r="AS882" s="94"/>
    </row>
    <row r="883" spans="1: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94"/>
      <c r="AI883" s="94"/>
      <c r="AJ883" s="94"/>
      <c r="AK883" s="94"/>
      <c r="AL883" s="94"/>
      <c r="AM883" s="94"/>
      <c r="AN883" s="94"/>
      <c r="AO883" s="94"/>
      <c r="AP883" s="94"/>
      <c r="AQ883" s="94"/>
      <c r="AR883" s="94"/>
      <c r="AS883" s="94"/>
    </row>
    <row r="884" spans="1: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94"/>
      <c r="AI884" s="94"/>
      <c r="AJ884" s="94"/>
      <c r="AK884" s="94"/>
      <c r="AL884" s="94"/>
      <c r="AM884" s="94"/>
      <c r="AN884" s="94"/>
      <c r="AO884" s="94"/>
      <c r="AP884" s="94"/>
      <c r="AQ884" s="94"/>
      <c r="AR884" s="94"/>
      <c r="AS884" s="94"/>
    </row>
    <row r="885" spans="1: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94"/>
      <c r="AI885" s="94"/>
      <c r="AJ885" s="94"/>
      <c r="AK885" s="94"/>
      <c r="AL885" s="94"/>
      <c r="AM885" s="94"/>
      <c r="AN885" s="94"/>
      <c r="AO885" s="94"/>
      <c r="AP885" s="94"/>
      <c r="AQ885" s="94"/>
      <c r="AR885" s="94"/>
      <c r="AS885" s="94"/>
    </row>
    <row r="886" spans="1: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94"/>
      <c r="AI886" s="94"/>
      <c r="AJ886" s="94"/>
      <c r="AK886" s="94"/>
      <c r="AL886" s="94"/>
      <c r="AM886" s="94"/>
      <c r="AN886" s="94"/>
      <c r="AO886" s="94"/>
      <c r="AP886" s="94"/>
      <c r="AQ886" s="94"/>
      <c r="AR886" s="94"/>
      <c r="AS886" s="94"/>
    </row>
    <row r="887" spans="1: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94"/>
      <c r="AI887" s="94"/>
      <c r="AJ887" s="94"/>
      <c r="AK887" s="94"/>
      <c r="AL887" s="94"/>
      <c r="AM887" s="94"/>
      <c r="AN887" s="94"/>
      <c r="AO887" s="94"/>
      <c r="AP887" s="94"/>
      <c r="AQ887" s="94"/>
      <c r="AR887" s="94"/>
      <c r="AS887" s="94"/>
    </row>
    <row r="888" spans="1: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94"/>
      <c r="AI888" s="94"/>
      <c r="AJ888" s="94"/>
      <c r="AK888" s="94"/>
      <c r="AL888" s="94"/>
      <c r="AM888" s="94"/>
      <c r="AN888" s="94"/>
      <c r="AO888" s="94"/>
      <c r="AP888" s="94"/>
      <c r="AQ888" s="94"/>
      <c r="AR888" s="94"/>
      <c r="AS888" s="94"/>
    </row>
    <row r="889" spans="1: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94"/>
      <c r="AI889" s="94"/>
      <c r="AJ889" s="94"/>
      <c r="AK889" s="94"/>
      <c r="AL889" s="94"/>
      <c r="AM889" s="94"/>
      <c r="AN889" s="94"/>
      <c r="AO889" s="94"/>
      <c r="AP889" s="94"/>
      <c r="AQ889" s="94"/>
      <c r="AR889" s="94"/>
      <c r="AS889" s="94"/>
    </row>
    <row r="890" spans="1: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94"/>
      <c r="AI890" s="94"/>
      <c r="AJ890" s="94"/>
      <c r="AK890" s="94"/>
      <c r="AL890" s="94"/>
      <c r="AM890" s="94"/>
      <c r="AN890" s="94"/>
      <c r="AO890" s="94"/>
      <c r="AP890" s="94"/>
      <c r="AQ890" s="94"/>
      <c r="AR890" s="94"/>
      <c r="AS890" s="94"/>
    </row>
    <row r="891" spans="1: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94"/>
      <c r="AI891" s="94"/>
      <c r="AJ891" s="94"/>
      <c r="AK891" s="94"/>
      <c r="AL891" s="94"/>
      <c r="AM891" s="94"/>
      <c r="AN891" s="94"/>
      <c r="AO891" s="94"/>
      <c r="AP891" s="94"/>
      <c r="AQ891" s="94"/>
      <c r="AR891" s="94"/>
      <c r="AS891" s="94"/>
    </row>
    <row r="892" spans="1: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94"/>
      <c r="AI892" s="94"/>
      <c r="AJ892" s="94"/>
      <c r="AK892" s="94"/>
      <c r="AL892" s="94"/>
      <c r="AM892" s="94"/>
      <c r="AN892" s="94"/>
      <c r="AO892" s="94"/>
      <c r="AP892" s="94"/>
      <c r="AQ892" s="94"/>
      <c r="AR892" s="94"/>
      <c r="AS892" s="94"/>
    </row>
    <row r="893" spans="1: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94"/>
      <c r="AI893" s="94"/>
      <c r="AJ893" s="94"/>
      <c r="AK893" s="94"/>
      <c r="AL893" s="94"/>
      <c r="AM893" s="94"/>
      <c r="AN893" s="94"/>
      <c r="AO893" s="94"/>
      <c r="AP893" s="94"/>
      <c r="AQ893" s="94"/>
      <c r="AR893" s="94"/>
      <c r="AS893" s="94"/>
    </row>
    <row r="894" spans="1: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94"/>
      <c r="AI894" s="94"/>
      <c r="AJ894" s="94"/>
      <c r="AK894" s="94"/>
      <c r="AL894" s="94"/>
      <c r="AM894" s="94"/>
      <c r="AN894" s="94"/>
      <c r="AO894" s="94"/>
      <c r="AP894" s="94"/>
      <c r="AQ894" s="94"/>
      <c r="AR894" s="94"/>
      <c r="AS894" s="94"/>
    </row>
    <row r="895" spans="1: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94"/>
      <c r="AI895" s="94"/>
      <c r="AJ895" s="94"/>
      <c r="AK895" s="94"/>
      <c r="AL895" s="94"/>
      <c r="AM895" s="94"/>
      <c r="AN895" s="94"/>
      <c r="AO895" s="94"/>
      <c r="AP895" s="94"/>
      <c r="AQ895" s="94"/>
      <c r="AR895" s="94"/>
      <c r="AS895" s="94"/>
    </row>
    <row r="896" spans="1: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94"/>
      <c r="AI896" s="94"/>
      <c r="AJ896" s="94"/>
      <c r="AK896" s="94"/>
      <c r="AL896" s="94"/>
      <c r="AM896" s="94"/>
      <c r="AN896" s="94"/>
      <c r="AO896" s="94"/>
      <c r="AP896" s="94"/>
      <c r="AQ896" s="94"/>
      <c r="AR896" s="94"/>
      <c r="AS896" s="94"/>
    </row>
    <row r="897" spans="1: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94"/>
      <c r="AI897" s="94"/>
      <c r="AJ897" s="94"/>
      <c r="AK897" s="94"/>
      <c r="AL897" s="94"/>
      <c r="AM897" s="94"/>
      <c r="AN897" s="94"/>
      <c r="AO897" s="94"/>
      <c r="AP897" s="94"/>
      <c r="AQ897" s="94"/>
      <c r="AR897" s="94"/>
      <c r="AS897" s="94"/>
    </row>
    <row r="898" spans="1: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94"/>
      <c r="AI898" s="94"/>
      <c r="AJ898" s="94"/>
      <c r="AK898" s="94"/>
      <c r="AL898" s="94"/>
      <c r="AM898" s="94"/>
      <c r="AN898" s="94"/>
      <c r="AO898" s="94"/>
      <c r="AP898" s="94"/>
      <c r="AQ898" s="94"/>
      <c r="AR898" s="94"/>
      <c r="AS898" s="94"/>
    </row>
    <row r="899" spans="1: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94"/>
      <c r="AI899" s="94"/>
      <c r="AJ899" s="94"/>
      <c r="AK899" s="94"/>
      <c r="AL899" s="94"/>
      <c r="AM899" s="94"/>
      <c r="AN899" s="94"/>
      <c r="AO899" s="94"/>
      <c r="AP899" s="94"/>
      <c r="AQ899" s="94"/>
      <c r="AR899" s="94"/>
      <c r="AS899" s="94"/>
    </row>
    <row r="900" spans="1: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94"/>
      <c r="AI900" s="94"/>
      <c r="AJ900" s="94"/>
      <c r="AK900" s="94"/>
      <c r="AL900" s="94"/>
      <c r="AM900" s="94"/>
      <c r="AN900" s="94"/>
      <c r="AO900" s="94"/>
      <c r="AP900" s="94"/>
      <c r="AQ900" s="94"/>
      <c r="AR900" s="94"/>
      <c r="AS900" s="94"/>
    </row>
    <row r="901" spans="1: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94"/>
      <c r="AI901" s="94"/>
      <c r="AJ901" s="94"/>
      <c r="AK901" s="94"/>
      <c r="AL901" s="94"/>
      <c r="AM901" s="94"/>
      <c r="AN901" s="94"/>
      <c r="AO901" s="94"/>
      <c r="AP901" s="94"/>
      <c r="AQ901" s="94"/>
      <c r="AR901" s="94"/>
      <c r="AS901" s="94"/>
    </row>
    <row r="902" spans="1: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94"/>
      <c r="AI902" s="94"/>
      <c r="AJ902" s="94"/>
      <c r="AK902" s="94"/>
      <c r="AL902" s="94"/>
      <c r="AM902" s="94"/>
      <c r="AN902" s="94"/>
      <c r="AO902" s="94"/>
      <c r="AP902" s="94"/>
      <c r="AQ902" s="94"/>
      <c r="AR902" s="94"/>
      <c r="AS902" s="94"/>
    </row>
    <row r="903" spans="1: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94"/>
      <c r="AI903" s="94"/>
      <c r="AJ903" s="94"/>
      <c r="AK903" s="94"/>
      <c r="AL903" s="94"/>
      <c r="AM903" s="94"/>
      <c r="AN903" s="94"/>
      <c r="AO903" s="94"/>
      <c r="AP903" s="94"/>
      <c r="AQ903" s="94"/>
      <c r="AR903" s="94"/>
      <c r="AS903" s="94"/>
    </row>
    <row r="904" spans="1: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94"/>
      <c r="AI904" s="94"/>
      <c r="AJ904" s="94"/>
      <c r="AK904" s="94"/>
      <c r="AL904" s="94"/>
      <c r="AM904" s="94"/>
      <c r="AN904" s="94"/>
      <c r="AO904" s="94"/>
      <c r="AP904" s="94"/>
      <c r="AQ904" s="94"/>
      <c r="AR904" s="94"/>
      <c r="AS904" s="94"/>
    </row>
    <row r="905" spans="1: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94"/>
      <c r="AI905" s="94"/>
      <c r="AJ905" s="94"/>
      <c r="AK905" s="94"/>
      <c r="AL905" s="94"/>
      <c r="AM905" s="94"/>
      <c r="AN905" s="94"/>
      <c r="AO905" s="94"/>
      <c r="AP905" s="94"/>
      <c r="AQ905" s="94"/>
      <c r="AR905" s="94"/>
      <c r="AS905" s="94"/>
    </row>
    <row r="906" spans="1: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94"/>
      <c r="AI906" s="94"/>
      <c r="AJ906" s="94"/>
      <c r="AK906" s="94"/>
      <c r="AL906" s="94"/>
      <c r="AM906" s="94"/>
      <c r="AN906" s="94"/>
      <c r="AO906" s="94"/>
      <c r="AP906" s="94"/>
      <c r="AQ906" s="94"/>
      <c r="AR906" s="94"/>
      <c r="AS906" s="94"/>
    </row>
    <row r="907" spans="1: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94"/>
      <c r="AI907" s="94"/>
      <c r="AJ907" s="94"/>
      <c r="AK907" s="94"/>
      <c r="AL907" s="94"/>
      <c r="AM907" s="94"/>
      <c r="AN907" s="94"/>
      <c r="AO907" s="94"/>
      <c r="AP907" s="94"/>
      <c r="AQ907" s="94"/>
      <c r="AR907" s="94"/>
      <c r="AS907" s="94"/>
    </row>
    <row r="908" spans="1: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94"/>
      <c r="AI908" s="94"/>
      <c r="AJ908" s="94"/>
      <c r="AK908" s="94"/>
      <c r="AL908" s="94"/>
      <c r="AM908" s="94"/>
      <c r="AN908" s="94"/>
      <c r="AO908" s="94"/>
      <c r="AP908" s="94"/>
      <c r="AQ908" s="94"/>
      <c r="AR908" s="94"/>
      <c r="AS908" s="94"/>
    </row>
    <row r="909" spans="1: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94"/>
      <c r="AI909" s="94"/>
      <c r="AJ909" s="94"/>
      <c r="AK909" s="94"/>
      <c r="AL909" s="94"/>
      <c r="AM909" s="94"/>
      <c r="AN909" s="94"/>
      <c r="AO909" s="94"/>
      <c r="AP909" s="94"/>
      <c r="AQ909" s="94"/>
      <c r="AR909" s="94"/>
      <c r="AS909" s="94"/>
    </row>
    <row r="910" spans="1: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94"/>
      <c r="AI910" s="94"/>
      <c r="AJ910" s="94"/>
      <c r="AK910" s="94"/>
      <c r="AL910" s="94"/>
      <c r="AM910" s="94"/>
      <c r="AN910" s="94"/>
      <c r="AO910" s="94"/>
      <c r="AP910" s="94"/>
      <c r="AQ910" s="94"/>
      <c r="AR910" s="94"/>
      <c r="AS910" s="94"/>
    </row>
    <row r="911" spans="1: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94"/>
      <c r="AI911" s="94"/>
      <c r="AJ911" s="94"/>
      <c r="AK911" s="94"/>
      <c r="AL911" s="94"/>
      <c r="AM911" s="94"/>
      <c r="AN911" s="94"/>
      <c r="AO911" s="94"/>
      <c r="AP911" s="94"/>
      <c r="AQ911" s="94"/>
      <c r="AR911" s="94"/>
      <c r="AS911" s="94"/>
    </row>
    <row r="912" spans="1: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94"/>
      <c r="AI912" s="94"/>
      <c r="AJ912" s="94"/>
      <c r="AK912" s="94"/>
      <c r="AL912" s="94"/>
      <c r="AM912" s="94"/>
      <c r="AN912" s="94"/>
      <c r="AO912" s="94"/>
      <c r="AP912" s="94"/>
      <c r="AQ912" s="94"/>
      <c r="AR912" s="94"/>
      <c r="AS912" s="94"/>
    </row>
    <row r="913" spans="1: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94"/>
      <c r="AI913" s="94"/>
      <c r="AJ913" s="94"/>
      <c r="AK913" s="94"/>
      <c r="AL913" s="94"/>
      <c r="AM913" s="94"/>
      <c r="AN913" s="94"/>
      <c r="AO913" s="94"/>
      <c r="AP913" s="94"/>
      <c r="AQ913" s="94"/>
      <c r="AR913" s="94"/>
      <c r="AS913" s="94"/>
    </row>
    <row r="914" spans="1: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94"/>
      <c r="AI914" s="94"/>
      <c r="AJ914" s="94"/>
      <c r="AK914" s="94"/>
      <c r="AL914" s="94"/>
      <c r="AM914" s="94"/>
      <c r="AN914" s="94"/>
      <c r="AO914" s="94"/>
      <c r="AP914" s="94"/>
      <c r="AQ914" s="94"/>
      <c r="AR914" s="94"/>
      <c r="AS914" s="94"/>
    </row>
    <row r="915" spans="1: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94"/>
      <c r="AI915" s="94"/>
      <c r="AJ915" s="94"/>
      <c r="AK915" s="94"/>
      <c r="AL915" s="94"/>
      <c r="AM915" s="94"/>
      <c r="AN915" s="94"/>
      <c r="AO915" s="94"/>
      <c r="AP915" s="94"/>
      <c r="AQ915" s="94"/>
      <c r="AR915" s="94"/>
      <c r="AS915" s="94"/>
    </row>
    <row r="916" spans="1: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94"/>
      <c r="AI916" s="94"/>
      <c r="AJ916" s="94"/>
      <c r="AK916" s="94"/>
      <c r="AL916" s="94"/>
      <c r="AM916" s="94"/>
      <c r="AN916" s="94"/>
      <c r="AO916" s="94"/>
      <c r="AP916" s="94"/>
      <c r="AQ916" s="94"/>
      <c r="AR916" s="94"/>
      <c r="AS916" s="94"/>
    </row>
    <row r="917" spans="1: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94"/>
      <c r="AI917" s="94"/>
      <c r="AJ917" s="94"/>
      <c r="AK917" s="94"/>
      <c r="AL917" s="94"/>
      <c r="AM917" s="94"/>
      <c r="AN917" s="94"/>
      <c r="AO917" s="94"/>
      <c r="AP917" s="94"/>
      <c r="AQ917" s="94"/>
      <c r="AR917" s="94"/>
      <c r="AS917" s="94"/>
    </row>
    <row r="918" spans="1: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94"/>
      <c r="AI918" s="94"/>
      <c r="AJ918" s="94"/>
      <c r="AK918" s="94"/>
      <c r="AL918" s="94"/>
      <c r="AM918" s="94"/>
      <c r="AN918" s="94"/>
      <c r="AO918" s="94"/>
      <c r="AP918" s="94"/>
      <c r="AQ918" s="94"/>
      <c r="AR918" s="94"/>
      <c r="AS918" s="94"/>
    </row>
    <row r="919" spans="1: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94"/>
      <c r="AI919" s="94"/>
      <c r="AJ919" s="94"/>
      <c r="AK919" s="94"/>
      <c r="AL919" s="94"/>
      <c r="AM919" s="94"/>
      <c r="AN919" s="94"/>
      <c r="AO919" s="94"/>
      <c r="AP919" s="94"/>
      <c r="AQ919" s="94"/>
      <c r="AR919" s="94"/>
      <c r="AS919" s="94"/>
    </row>
    <row r="920" spans="1: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94"/>
      <c r="AI920" s="94"/>
      <c r="AJ920" s="94"/>
      <c r="AK920" s="94"/>
      <c r="AL920" s="94"/>
      <c r="AM920" s="94"/>
      <c r="AN920" s="94"/>
      <c r="AO920" s="94"/>
      <c r="AP920" s="94"/>
      <c r="AQ920" s="94"/>
      <c r="AR920" s="94"/>
      <c r="AS920" s="94"/>
    </row>
    <row r="921" spans="1: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94"/>
      <c r="AI921" s="94"/>
      <c r="AJ921" s="94"/>
      <c r="AK921" s="94"/>
      <c r="AL921" s="94"/>
      <c r="AM921" s="94"/>
      <c r="AN921" s="94"/>
      <c r="AO921" s="94"/>
      <c r="AP921" s="94"/>
      <c r="AQ921" s="94"/>
      <c r="AR921" s="94"/>
      <c r="AS921" s="94"/>
    </row>
    <row r="922" spans="1: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94"/>
      <c r="AI922" s="94"/>
      <c r="AJ922" s="94"/>
      <c r="AK922" s="94"/>
      <c r="AL922" s="94"/>
      <c r="AM922" s="94"/>
      <c r="AN922" s="94"/>
      <c r="AO922" s="94"/>
      <c r="AP922" s="94"/>
      <c r="AQ922" s="94"/>
      <c r="AR922" s="94"/>
      <c r="AS922" s="94"/>
    </row>
    <row r="923" spans="1: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94"/>
      <c r="AI923" s="94"/>
      <c r="AJ923" s="94"/>
      <c r="AK923" s="94"/>
      <c r="AL923" s="94"/>
      <c r="AM923" s="94"/>
      <c r="AN923" s="94"/>
      <c r="AO923" s="94"/>
      <c r="AP923" s="94"/>
      <c r="AQ923" s="94"/>
      <c r="AR923" s="94"/>
      <c r="AS923" s="94"/>
    </row>
    <row r="924" spans="1: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94"/>
      <c r="AI924" s="94"/>
      <c r="AJ924" s="94"/>
      <c r="AK924" s="94"/>
      <c r="AL924" s="94"/>
      <c r="AM924" s="94"/>
      <c r="AN924" s="94"/>
      <c r="AO924" s="94"/>
      <c r="AP924" s="94"/>
      <c r="AQ924" s="94"/>
      <c r="AR924" s="94"/>
      <c r="AS924" s="94"/>
    </row>
    <row r="925" spans="1: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94"/>
      <c r="AI925" s="94"/>
      <c r="AJ925" s="94"/>
      <c r="AK925" s="94"/>
      <c r="AL925" s="94"/>
      <c r="AM925" s="94"/>
      <c r="AN925" s="94"/>
      <c r="AO925" s="94"/>
      <c r="AP925" s="94"/>
      <c r="AQ925" s="94"/>
      <c r="AR925" s="94"/>
      <c r="AS925" s="94"/>
    </row>
    <row r="926" spans="1: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94"/>
      <c r="AI926" s="94"/>
      <c r="AJ926" s="94"/>
      <c r="AK926" s="94"/>
      <c r="AL926" s="94"/>
      <c r="AM926" s="94"/>
      <c r="AN926" s="94"/>
      <c r="AO926" s="94"/>
      <c r="AP926" s="94"/>
      <c r="AQ926" s="94"/>
      <c r="AR926" s="94"/>
      <c r="AS926" s="94"/>
    </row>
    <row r="927" spans="1: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94"/>
      <c r="AI927" s="94"/>
      <c r="AJ927" s="94"/>
      <c r="AK927" s="94"/>
      <c r="AL927" s="94"/>
      <c r="AM927" s="94"/>
      <c r="AN927" s="94"/>
      <c r="AO927" s="94"/>
      <c r="AP927" s="94"/>
      <c r="AQ927" s="94"/>
      <c r="AR927" s="94"/>
      <c r="AS927" s="94"/>
    </row>
    <row r="928" spans="1: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94"/>
      <c r="AI928" s="94"/>
      <c r="AJ928" s="94"/>
      <c r="AK928" s="94"/>
      <c r="AL928" s="94"/>
      <c r="AM928" s="94"/>
      <c r="AN928" s="94"/>
      <c r="AO928" s="94"/>
      <c r="AP928" s="94"/>
      <c r="AQ928" s="94"/>
      <c r="AR928" s="94"/>
      <c r="AS928" s="94"/>
    </row>
    <row r="929" spans="1: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94"/>
      <c r="AI929" s="94"/>
      <c r="AJ929" s="94"/>
      <c r="AK929" s="94"/>
      <c r="AL929" s="94"/>
      <c r="AM929" s="94"/>
      <c r="AN929" s="94"/>
      <c r="AO929" s="94"/>
      <c r="AP929" s="94"/>
      <c r="AQ929" s="94"/>
      <c r="AR929" s="94"/>
      <c r="AS929" s="94"/>
    </row>
    <row r="930" spans="1: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94"/>
      <c r="AI930" s="94"/>
      <c r="AJ930" s="94"/>
      <c r="AK930" s="94"/>
      <c r="AL930" s="94"/>
      <c r="AM930" s="94"/>
      <c r="AN930" s="94"/>
      <c r="AO930" s="94"/>
      <c r="AP930" s="94"/>
      <c r="AQ930" s="94"/>
      <c r="AR930" s="94"/>
      <c r="AS930" s="94"/>
    </row>
    <row r="931" spans="1: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94"/>
      <c r="AI931" s="94"/>
      <c r="AJ931" s="94"/>
      <c r="AK931" s="94"/>
      <c r="AL931" s="94"/>
      <c r="AM931" s="94"/>
      <c r="AN931" s="94"/>
      <c r="AO931" s="94"/>
      <c r="AP931" s="94"/>
      <c r="AQ931" s="94"/>
      <c r="AR931" s="94"/>
      <c r="AS931" s="94"/>
    </row>
    <row r="932" spans="1: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94"/>
      <c r="AI932" s="94"/>
      <c r="AJ932" s="94"/>
      <c r="AK932" s="94"/>
      <c r="AL932" s="94"/>
      <c r="AM932" s="94"/>
      <c r="AN932" s="94"/>
      <c r="AO932" s="94"/>
      <c r="AP932" s="94"/>
      <c r="AQ932" s="94"/>
      <c r="AR932" s="94"/>
      <c r="AS932" s="94"/>
    </row>
    <row r="933" spans="1: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94"/>
      <c r="AI933" s="94"/>
      <c r="AJ933" s="94"/>
      <c r="AK933" s="94"/>
      <c r="AL933" s="94"/>
      <c r="AM933" s="94"/>
      <c r="AN933" s="94"/>
      <c r="AO933" s="94"/>
      <c r="AP933" s="94"/>
      <c r="AQ933" s="94"/>
      <c r="AR933" s="94"/>
      <c r="AS933" s="94"/>
    </row>
    <row r="934" spans="1: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94"/>
      <c r="AI934" s="94"/>
      <c r="AJ934" s="94"/>
      <c r="AK934" s="94"/>
      <c r="AL934" s="94"/>
      <c r="AM934" s="94"/>
      <c r="AN934" s="94"/>
      <c r="AO934" s="94"/>
      <c r="AP934" s="94"/>
      <c r="AQ934" s="94"/>
      <c r="AR934" s="94"/>
      <c r="AS934" s="94"/>
    </row>
    <row r="935" spans="1: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94"/>
      <c r="AI935" s="94"/>
      <c r="AJ935" s="94"/>
      <c r="AK935" s="94"/>
      <c r="AL935" s="94"/>
      <c r="AM935" s="94"/>
      <c r="AN935" s="94"/>
      <c r="AO935" s="94"/>
      <c r="AP935" s="94"/>
      <c r="AQ935" s="94"/>
      <c r="AR935" s="94"/>
      <c r="AS935" s="94"/>
    </row>
    <row r="936" spans="1: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94"/>
      <c r="AI936" s="94"/>
      <c r="AJ936" s="94"/>
      <c r="AK936" s="94"/>
      <c r="AL936" s="94"/>
      <c r="AM936" s="94"/>
      <c r="AN936" s="94"/>
      <c r="AO936" s="94"/>
      <c r="AP936" s="94"/>
      <c r="AQ936" s="94"/>
      <c r="AR936" s="94"/>
      <c r="AS936" s="94"/>
    </row>
    <row r="937" spans="1: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94"/>
      <c r="AI937" s="94"/>
      <c r="AJ937" s="94"/>
      <c r="AK937" s="94"/>
      <c r="AL937" s="94"/>
      <c r="AM937" s="94"/>
      <c r="AN937" s="94"/>
      <c r="AO937" s="94"/>
      <c r="AP937" s="94"/>
      <c r="AQ937" s="94"/>
      <c r="AR937" s="94"/>
      <c r="AS937" s="94"/>
    </row>
    <row r="938" spans="1: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94"/>
      <c r="AI938" s="94"/>
      <c r="AJ938" s="94"/>
      <c r="AK938" s="94"/>
      <c r="AL938" s="94"/>
      <c r="AM938" s="94"/>
      <c r="AN938" s="94"/>
      <c r="AO938" s="94"/>
      <c r="AP938" s="94"/>
      <c r="AQ938" s="94"/>
      <c r="AR938" s="94"/>
      <c r="AS938" s="94"/>
    </row>
    <row r="939" spans="1: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94"/>
      <c r="AI939" s="94"/>
      <c r="AJ939" s="94"/>
      <c r="AK939" s="94"/>
      <c r="AL939" s="94"/>
      <c r="AM939" s="94"/>
      <c r="AN939" s="94"/>
      <c r="AO939" s="94"/>
      <c r="AP939" s="94"/>
      <c r="AQ939" s="94"/>
      <c r="AR939" s="94"/>
      <c r="AS939" s="94"/>
    </row>
    <row r="940" spans="1: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94"/>
      <c r="AI940" s="94"/>
      <c r="AJ940" s="94"/>
      <c r="AK940" s="94"/>
      <c r="AL940" s="94"/>
      <c r="AM940" s="94"/>
      <c r="AN940" s="94"/>
      <c r="AO940" s="94"/>
      <c r="AP940" s="94"/>
      <c r="AQ940" s="94"/>
      <c r="AR940" s="94"/>
      <c r="AS940" s="94"/>
    </row>
    <row r="941" spans="1: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94"/>
      <c r="AI941" s="94"/>
      <c r="AJ941" s="94"/>
      <c r="AK941" s="94"/>
      <c r="AL941" s="94"/>
      <c r="AM941" s="94"/>
      <c r="AN941" s="94"/>
      <c r="AO941" s="94"/>
      <c r="AP941" s="94"/>
      <c r="AQ941" s="94"/>
      <c r="AR941" s="94"/>
      <c r="AS941" s="94"/>
    </row>
    <row r="942" spans="1: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94"/>
      <c r="AI942" s="94"/>
      <c r="AJ942" s="94"/>
      <c r="AK942" s="94"/>
      <c r="AL942" s="94"/>
      <c r="AM942" s="94"/>
      <c r="AN942" s="94"/>
      <c r="AO942" s="94"/>
      <c r="AP942" s="94"/>
      <c r="AQ942" s="94"/>
      <c r="AR942" s="94"/>
      <c r="AS942" s="94"/>
    </row>
    <row r="943" spans="1: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94"/>
      <c r="AI943" s="94"/>
      <c r="AJ943" s="94"/>
      <c r="AK943" s="94"/>
      <c r="AL943" s="94"/>
      <c r="AM943" s="94"/>
      <c r="AN943" s="94"/>
      <c r="AO943" s="94"/>
      <c r="AP943" s="94"/>
      <c r="AQ943" s="94"/>
      <c r="AR943" s="94"/>
      <c r="AS943" s="94"/>
    </row>
    <row r="944" spans="1: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94"/>
      <c r="AI944" s="94"/>
      <c r="AJ944" s="94"/>
      <c r="AK944" s="94"/>
      <c r="AL944" s="94"/>
      <c r="AM944" s="94"/>
      <c r="AN944" s="94"/>
      <c r="AO944" s="94"/>
      <c r="AP944" s="94"/>
      <c r="AQ944" s="94"/>
      <c r="AR944" s="94"/>
      <c r="AS944" s="94"/>
    </row>
    <row r="945" spans="1: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94"/>
      <c r="AI945" s="94"/>
      <c r="AJ945" s="94"/>
      <c r="AK945" s="94"/>
      <c r="AL945" s="94"/>
      <c r="AM945" s="94"/>
      <c r="AN945" s="94"/>
      <c r="AO945" s="94"/>
      <c r="AP945" s="94"/>
      <c r="AQ945" s="94"/>
      <c r="AR945" s="94"/>
      <c r="AS945" s="94"/>
    </row>
    <row r="946" spans="1: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94"/>
      <c r="AI946" s="94"/>
      <c r="AJ946" s="94"/>
      <c r="AK946" s="94"/>
      <c r="AL946" s="94"/>
      <c r="AM946" s="94"/>
      <c r="AN946" s="94"/>
      <c r="AO946" s="94"/>
      <c r="AP946" s="94"/>
      <c r="AQ946" s="94"/>
      <c r="AR946" s="94"/>
      <c r="AS946" s="94"/>
    </row>
    <row r="947" spans="1: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94"/>
      <c r="AI947" s="94"/>
      <c r="AJ947" s="94"/>
      <c r="AK947" s="94"/>
      <c r="AL947" s="94"/>
      <c r="AM947" s="94"/>
      <c r="AN947" s="94"/>
      <c r="AO947" s="94"/>
      <c r="AP947" s="94"/>
      <c r="AQ947" s="94"/>
      <c r="AR947" s="94"/>
      <c r="AS947" s="94"/>
    </row>
    <row r="948" spans="1: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94"/>
      <c r="AI948" s="94"/>
      <c r="AJ948" s="94"/>
      <c r="AK948" s="94"/>
      <c r="AL948" s="94"/>
      <c r="AM948" s="94"/>
      <c r="AN948" s="94"/>
      <c r="AO948" s="94"/>
      <c r="AP948" s="94"/>
      <c r="AQ948" s="94"/>
      <c r="AR948" s="94"/>
      <c r="AS948" s="94"/>
    </row>
    <row r="949" spans="1: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94"/>
      <c r="AI949" s="94"/>
      <c r="AJ949" s="94"/>
      <c r="AK949" s="94"/>
      <c r="AL949" s="94"/>
      <c r="AM949" s="94"/>
      <c r="AN949" s="94"/>
      <c r="AO949" s="94"/>
      <c r="AP949" s="94"/>
      <c r="AQ949" s="94"/>
      <c r="AR949" s="94"/>
      <c r="AS949" s="94"/>
    </row>
    <row r="950" spans="1: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94"/>
      <c r="AI950" s="94"/>
      <c r="AJ950" s="94"/>
      <c r="AK950" s="94"/>
      <c r="AL950" s="94"/>
      <c r="AM950" s="94"/>
      <c r="AN950" s="94"/>
      <c r="AO950" s="94"/>
      <c r="AP950" s="94"/>
      <c r="AQ950" s="94"/>
      <c r="AR950" s="94"/>
      <c r="AS950" s="94"/>
    </row>
    <row r="951" spans="1: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94"/>
      <c r="AI951" s="94"/>
      <c r="AJ951" s="94"/>
      <c r="AK951" s="94"/>
      <c r="AL951" s="94"/>
      <c r="AM951" s="94"/>
      <c r="AN951" s="94"/>
      <c r="AO951" s="94"/>
      <c r="AP951" s="94"/>
      <c r="AQ951" s="94"/>
      <c r="AR951" s="94"/>
      <c r="AS951" s="94"/>
    </row>
    <row r="952" spans="1: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94"/>
      <c r="AI952" s="94"/>
      <c r="AJ952" s="94"/>
      <c r="AK952" s="94"/>
      <c r="AL952" s="94"/>
      <c r="AM952" s="94"/>
      <c r="AN952" s="94"/>
      <c r="AO952" s="94"/>
      <c r="AP952" s="94"/>
      <c r="AQ952" s="94"/>
      <c r="AR952" s="94"/>
      <c r="AS952" s="94"/>
    </row>
    <row r="953" spans="1: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94"/>
      <c r="AI953" s="94"/>
      <c r="AJ953" s="94"/>
      <c r="AK953" s="94"/>
      <c r="AL953" s="94"/>
      <c r="AM953" s="94"/>
      <c r="AN953" s="94"/>
      <c r="AO953" s="94"/>
      <c r="AP953" s="94"/>
      <c r="AQ953" s="94"/>
      <c r="AR953" s="94"/>
      <c r="AS953" s="94"/>
    </row>
    <row r="954" spans="1: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94"/>
      <c r="AI954" s="94"/>
      <c r="AJ954" s="94"/>
      <c r="AK954" s="94"/>
      <c r="AL954" s="94"/>
      <c r="AM954" s="94"/>
      <c r="AN954" s="94"/>
      <c r="AO954" s="94"/>
      <c r="AP954" s="94"/>
      <c r="AQ954" s="94"/>
      <c r="AR954" s="94"/>
      <c r="AS954" s="94"/>
    </row>
    <row r="955" spans="1: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94"/>
      <c r="AI955" s="94"/>
      <c r="AJ955" s="94"/>
      <c r="AK955" s="94"/>
      <c r="AL955" s="94"/>
      <c r="AM955" s="94"/>
      <c r="AN955" s="94"/>
      <c r="AO955" s="94"/>
      <c r="AP955" s="94"/>
      <c r="AQ955" s="94"/>
      <c r="AR955" s="94"/>
      <c r="AS955" s="94"/>
    </row>
    <row r="956" spans="1: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94"/>
      <c r="AI956" s="94"/>
      <c r="AJ956" s="94"/>
      <c r="AK956" s="94"/>
      <c r="AL956" s="94"/>
      <c r="AM956" s="94"/>
      <c r="AN956" s="94"/>
      <c r="AO956" s="94"/>
      <c r="AP956" s="94"/>
      <c r="AQ956" s="94"/>
      <c r="AR956" s="94"/>
      <c r="AS956" s="94"/>
    </row>
    <row r="957" spans="1: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94"/>
      <c r="AI957" s="94"/>
      <c r="AJ957" s="94"/>
      <c r="AK957" s="94"/>
      <c r="AL957" s="94"/>
      <c r="AM957" s="94"/>
      <c r="AN957" s="94"/>
      <c r="AO957" s="94"/>
      <c r="AP957" s="94"/>
      <c r="AQ957" s="94"/>
      <c r="AR957" s="94"/>
      <c r="AS957" s="94"/>
    </row>
    <row r="958" spans="1: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94"/>
      <c r="AI958" s="94"/>
      <c r="AJ958" s="94"/>
      <c r="AK958" s="94"/>
      <c r="AL958" s="94"/>
      <c r="AM958" s="94"/>
      <c r="AN958" s="94"/>
      <c r="AO958" s="94"/>
      <c r="AP958" s="94"/>
      <c r="AQ958" s="94"/>
      <c r="AR958" s="94"/>
      <c r="AS958" s="94"/>
    </row>
    <row r="959" spans="1: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94"/>
      <c r="AI959" s="94"/>
      <c r="AJ959" s="94"/>
      <c r="AK959" s="94"/>
      <c r="AL959" s="94"/>
      <c r="AM959" s="94"/>
      <c r="AN959" s="94"/>
      <c r="AO959" s="94"/>
      <c r="AP959" s="94"/>
      <c r="AQ959" s="94"/>
      <c r="AR959" s="94"/>
      <c r="AS959" s="94"/>
    </row>
    <row r="960" spans="1: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94"/>
      <c r="AI960" s="94"/>
      <c r="AJ960" s="94"/>
      <c r="AK960" s="94"/>
      <c r="AL960" s="94"/>
      <c r="AM960" s="94"/>
      <c r="AN960" s="94"/>
      <c r="AO960" s="94"/>
      <c r="AP960" s="94"/>
      <c r="AQ960" s="94"/>
      <c r="AR960" s="94"/>
      <c r="AS960" s="94"/>
    </row>
    <row r="961" spans="1: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94"/>
      <c r="AI961" s="94"/>
      <c r="AJ961" s="94"/>
      <c r="AK961" s="94"/>
      <c r="AL961" s="94"/>
      <c r="AM961" s="94"/>
      <c r="AN961" s="94"/>
      <c r="AO961" s="94"/>
      <c r="AP961" s="94"/>
      <c r="AQ961" s="94"/>
      <c r="AR961" s="94"/>
      <c r="AS961" s="94"/>
    </row>
    <row r="962" spans="1: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94"/>
      <c r="AI962" s="94"/>
      <c r="AJ962" s="94"/>
      <c r="AK962" s="94"/>
      <c r="AL962" s="94"/>
      <c r="AM962" s="94"/>
      <c r="AN962" s="94"/>
      <c r="AO962" s="94"/>
      <c r="AP962" s="94"/>
      <c r="AQ962" s="94"/>
      <c r="AR962" s="94"/>
      <c r="AS962" s="94"/>
    </row>
    <row r="963" spans="1: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94"/>
      <c r="AI963" s="94"/>
      <c r="AJ963" s="94"/>
      <c r="AK963" s="94"/>
      <c r="AL963" s="94"/>
      <c r="AM963" s="94"/>
      <c r="AN963" s="94"/>
      <c r="AO963" s="94"/>
      <c r="AP963" s="94"/>
      <c r="AQ963" s="94"/>
      <c r="AR963" s="94"/>
      <c r="AS963" s="94"/>
    </row>
    <row r="964" spans="1: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94"/>
      <c r="AI964" s="94"/>
      <c r="AJ964" s="94"/>
      <c r="AK964" s="94"/>
      <c r="AL964" s="94"/>
      <c r="AM964" s="94"/>
      <c r="AN964" s="94"/>
      <c r="AO964" s="94"/>
      <c r="AP964" s="94"/>
      <c r="AQ964" s="94"/>
      <c r="AR964" s="94"/>
      <c r="AS964" s="94"/>
    </row>
    <row r="965" spans="1: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94"/>
      <c r="AI965" s="94"/>
      <c r="AJ965" s="94"/>
      <c r="AK965" s="94"/>
      <c r="AL965" s="94"/>
      <c r="AM965" s="94"/>
      <c r="AN965" s="94"/>
      <c r="AO965" s="94"/>
      <c r="AP965" s="94"/>
      <c r="AQ965" s="94"/>
      <c r="AR965" s="94"/>
      <c r="AS965" s="94"/>
    </row>
    <row r="966" spans="1: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94"/>
      <c r="AI966" s="94"/>
      <c r="AJ966" s="94"/>
      <c r="AK966" s="94"/>
      <c r="AL966" s="94"/>
      <c r="AM966" s="94"/>
      <c r="AN966" s="94"/>
      <c r="AO966" s="94"/>
      <c r="AP966" s="94"/>
      <c r="AQ966" s="94"/>
      <c r="AR966" s="94"/>
      <c r="AS966" s="94"/>
    </row>
    <row r="967" spans="1: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94"/>
      <c r="AI967" s="94"/>
      <c r="AJ967" s="94"/>
      <c r="AK967" s="94"/>
      <c r="AL967" s="94"/>
      <c r="AM967" s="94"/>
      <c r="AN967" s="94"/>
      <c r="AO967" s="94"/>
      <c r="AP967" s="94"/>
      <c r="AQ967" s="94"/>
      <c r="AR967" s="94"/>
      <c r="AS967" s="94"/>
    </row>
    <row r="968" spans="1: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94"/>
      <c r="AI968" s="94"/>
      <c r="AJ968" s="94"/>
      <c r="AK968" s="94"/>
      <c r="AL968" s="94"/>
      <c r="AM968" s="94"/>
      <c r="AN968" s="94"/>
      <c r="AO968" s="94"/>
      <c r="AP968" s="94"/>
      <c r="AQ968" s="94"/>
      <c r="AR968" s="94"/>
      <c r="AS968" s="94"/>
    </row>
    <row r="969" spans="1: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94"/>
      <c r="AI969" s="94"/>
      <c r="AJ969" s="94"/>
      <c r="AK969" s="94"/>
      <c r="AL969" s="94"/>
      <c r="AM969" s="94"/>
      <c r="AN969" s="94"/>
      <c r="AO969" s="94"/>
      <c r="AP969" s="94"/>
      <c r="AQ969" s="94"/>
      <c r="AR969" s="94"/>
      <c r="AS969" s="94"/>
    </row>
    <row r="970" spans="1: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94"/>
      <c r="AI970" s="94"/>
      <c r="AJ970" s="94"/>
      <c r="AK970" s="94"/>
      <c r="AL970" s="94"/>
      <c r="AM970" s="94"/>
      <c r="AN970" s="94"/>
      <c r="AO970" s="94"/>
      <c r="AP970" s="94"/>
      <c r="AQ970" s="94"/>
      <c r="AR970" s="94"/>
      <c r="AS970" s="94"/>
    </row>
    <row r="971" spans="1: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94"/>
      <c r="AI971" s="94"/>
      <c r="AJ971" s="94"/>
      <c r="AK971" s="94"/>
      <c r="AL971" s="94"/>
      <c r="AM971" s="94"/>
      <c r="AN971" s="94"/>
      <c r="AO971" s="94"/>
      <c r="AP971" s="94"/>
      <c r="AQ971" s="94"/>
      <c r="AR971" s="94"/>
      <c r="AS971" s="94"/>
    </row>
    <row r="972" spans="1: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94"/>
      <c r="AI972" s="94"/>
      <c r="AJ972" s="94"/>
      <c r="AK972" s="94"/>
      <c r="AL972" s="94"/>
      <c r="AM972" s="94"/>
      <c r="AN972" s="94"/>
      <c r="AO972" s="94"/>
      <c r="AP972" s="94"/>
      <c r="AQ972" s="94"/>
      <c r="AR972" s="94"/>
      <c r="AS972" s="94"/>
    </row>
    <row r="973" spans="1: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94"/>
      <c r="AI973" s="94"/>
      <c r="AJ973" s="94"/>
      <c r="AK973" s="94"/>
      <c r="AL973" s="94"/>
      <c r="AM973" s="94"/>
      <c r="AN973" s="94"/>
      <c r="AO973" s="94"/>
      <c r="AP973" s="94"/>
      <c r="AQ973" s="94"/>
      <c r="AR973" s="94"/>
      <c r="AS973" s="94"/>
    </row>
    <row r="974" spans="1: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94"/>
      <c r="AI974" s="94"/>
      <c r="AJ974" s="94"/>
      <c r="AK974" s="94"/>
      <c r="AL974" s="94"/>
      <c r="AM974" s="94"/>
      <c r="AN974" s="94"/>
      <c r="AO974" s="94"/>
      <c r="AP974" s="94"/>
      <c r="AQ974" s="94"/>
      <c r="AR974" s="94"/>
      <c r="AS974" s="94"/>
    </row>
    <row r="975" spans="1: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94"/>
      <c r="AI975" s="94"/>
      <c r="AJ975" s="94"/>
      <c r="AK975" s="94"/>
      <c r="AL975" s="94"/>
      <c r="AM975" s="94"/>
      <c r="AN975" s="94"/>
      <c r="AO975" s="94"/>
      <c r="AP975" s="94"/>
      <c r="AQ975" s="94"/>
      <c r="AR975" s="94"/>
      <c r="AS975" s="94"/>
    </row>
    <row r="976" spans="1: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94"/>
      <c r="AI976" s="94"/>
      <c r="AJ976" s="94"/>
      <c r="AK976" s="94"/>
      <c r="AL976" s="94"/>
      <c r="AM976" s="94"/>
      <c r="AN976" s="94"/>
      <c r="AO976" s="94"/>
      <c r="AP976" s="94"/>
      <c r="AQ976" s="94"/>
      <c r="AR976" s="94"/>
      <c r="AS976" s="94"/>
    </row>
    <row r="977" spans="1: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94"/>
      <c r="AI977" s="94"/>
      <c r="AJ977" s="94"/>
      <c r="AK977" s="94"/>
      <c r="AL977" s="94"/>
      <c r="AM977" s="94"/>
      <c r="AN977" s="94"/>
      <c r="AO977" s="94"/>
      <c r="AP977" s="94"/>
      <c r="AQ977" s="94"/>
      <c r="AR977" s="94"/>
      <c r="AS977" s="94"/>
    </row>
    <row r="978" spans="1: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94"/>
      <c r="AI978" s="94"/>
      <c r="AJ978" s="94"/>
      <c r="AK978" s="94"/>
      <c r="AL978" s="94"/>
      <c r="AM978" s="94"/>
      <c r="AN978" s="94"/>
      <c r="AO978" s="94"/>
      <c r="AP978" s="94"/>
      <c r="AQ978" s="94"/>
      <c r="AR978" s="94"/>
      <c r="AS978" s="94"/>
    </row>
    <row r="979" spans="1: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94"/>
      <c r="AI979" s="94"/>
      <c r="AJ979" s="94"/>
      <c r="AK979" s="94"/>
      <c r="AL979" s="94"/>
      <c r="AM979" s="94"/>
      <c r="AN979" s="94"/>
      <c r="AO979" s="94"/>
      <c r="AP979" s="94"/>
      <c r="AQ979" s="94"/>
      <c r="AR979" s="94"/>
      <c r="AS979" s="94"/>
    </row>
    <row r="980" spans="1: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94"/>
      <c r="AI980" s="94"/>
      <c r="AJ980" s="94"/>
      <c r="AK980" s="94"/>
      <c r="AL980" s="94"/>
      <c r="AM980" s="94"/>
      <c r="AN980" s="94"/>
      <c r="AO980" s="94"/>
      <c r="AP980" s="94"/>
      <c r="AQ980" s="94"/>
      <c r="AR980" s="94"/>
      <c r="AS980" s="94"/>
    </row>
    <row r="981" spans="1: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94"/>
      <c r="AI981" s="94"/>
      <c r="AJ981" s="94"/>
      <c r="AK981" s="94"/>
      <c r="AL981" s="94"/>
      <c r="AM981" s="94"/>
      <c r="AN981" s="94"/>
      <c r="AO981" s="94"/>
      <c r="AP981" s="94"/>
      <c r="AQ981" s="94"/>
      <c r="AR981" s="94"/>
      <c r="AS981" s="94"/>
    </row>
    <row r="982" spans="1: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94"/>
      <c r="AI982" s="94"/>
      <c r="AJ982" s="94"/>
      <c r="AK982" s="94"/>
      <c r="AL982" s="94"/>
      <c r="AM982" s="94"/>
      <c r="AN982" s="94"/>
      <c r="AO982" s="94"/>
      <c r="AP982" s="94"/>
      <c r="AQ982" s="94"/>
      <c r="AR982" s="94"/>
      <c r="AS982" s="94"/>
    </row>
    <row r="983" spans="1: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94"/>
      <c r="AI983" s="94"/>
      <c r="AJ983" s="94"/>
      <c r="AK983" s="94"/>
      <c r="AL983" s="94"/>
      <c r="AM983" s="94"/>
      <c r="AN983" s="94"/>
      <c r="AO983" s="94"/>
      <c r="AP983" s="94"/>
      <c r="AQ983" s="94"/>
      <c r="AR983" s="94"/>
      <c r="AS983" s="94"/>
    </row>
    <row r="984" spans="1: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94"/>
      <c r="AI984" s="94"/>
      <c r="AJ984" s="94"/>
      <c r="AK984" s="94"/>
      <c r="AL984" s="94"/>
      <c r="AM984" s="94"/>
      <c r="AN984" s="94"/>
      <c r="AO984" s="94"/>
      <c r="AP984" s="94"/>
      <c r="AQ984" s="94"/>
      <c r="AR984" s="94"/>
      <c r="AS984" s="94"/>
    </row>
    <row r="985" spans="1: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94"/>
      <c r="AI985" s="94"/>
      <c r="AJ985" s="94"/>
      <c r="AK985" s="94"/>
      <c r="AL985" s="94"/>
      <c r="AM985" s="94"/>
      <c r="AN985" s="94"/>
      <c r="AO985" s="94"/>
      <c r="AP985" s="94"/>
      <c r="AQ985" s="94"/>
      <c r="AR985" s="94"/>
      <c r="AS985" s="94"/>
    </row>
    <row r="986" spans="1: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94"/>
      <c r="AI986" s="94"/>
      <c r="AJ986" s="94"/>
      <c r="AK986" s="94"/>
      <c r="AL986" s="94"/>
      <c r="AM986" s="94"/>
      <c r="AN986" s="94"/>
      <c r="AO986" s="94"/>
      <c r="AP986" s="94"/>
      <c r="AQ986" s="94"/>
      <c r="AR986" s="94"/>
      <c r="AS986" s="94"/>
    </row>
    <row r="987" spans="1: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94"/>
      <c r="AI987" s="94"/>
      <c r="AJ987" s="94"/>
      <c r="AK987" s="94"/>
      <c r="AL987" s="94"/>
      <c r="AM987" s="94"/>
      <c r="AN987" s="94"/>
      <c r="AO987" s="94"/>
      <c r="AP987" s="94"/>
      <c r="AQ987" s="94"/>
      <c r="AR987" s="94"/>
      <c r="AS987" s="94"/>
    </row>
    <row r="988" spans="1: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94"/>
      <c r="AI988" s="94"/>
      <c r="AJ988" s="94"/>
      <c r="AK988" s="94"/>
      <c r="AL988" s="94"/>
      <c r="AM988" s="94"/>
      <c r="AN988" s="94"/>
      <c r="AO988" s="94"/>
      <c r="AP988" s="94"/>
      <c r="AQ988" s="94"/>
      <c r="AR988" s="94"/>
      <c r="AS988" s="94"/>
    </row>
    <row r="989" spans="1: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94"/>
      <c r="AI989" s="94"/>
      <c r="AJ989" s="94"/>
      <c r="AK989" s="94"/>
      <c r="AL989" s="94"/>
      <c r="AM989" s="94"/>
      <c r="AN989" s="94"/>
      <c r="AO989" s="94"/>
      <c r="AP989" s="94"/>
      <c r="AQ989" s="94"/>
      <c r="AR989" s="94"/>
      <c r="AS989" s="94"/>
    </row>
    <row r="990" spans="1: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94"/>
      <c r="AI990" s="94"/>
      <c r="AJ990" s="94"/>
      <c r="AK990" s="94"/>
      <c r="AL990" s="94"/>
      <c r="AM990" s="94"/>
      <c r="AN990" s="94"/>
      <c r="AO990" s="94"/>
      <c r="AP990" s="94"/>
      <c r="AQ990" s="94"/>
      <c r="AR990" s="94"/>
      <c r="AS990" s="94"/>
    </row>
    <row r="991" spans="1: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94"/>
      <c r="AI991" s="94"/>
      <c r="AJ991" s="94"/>
      <c r="AK991" s="94"/>
      <c r="AL991" s="94"/>
      <c r="AM991" s="94"/>
      <c r="AN991" s="94"/>
      <c r="AO991" s="94"/>
      <c r="AP991" s="94"/>
      <c r="AQ991" s="94"/>
      <c r="AR991" s="94"/>
      <c r="AS991" s="94"/>
    </row>
    <row r="992" spans="1: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94"/>
      <c r="AI992" s="94"/>
      <c r="AJ992" s="94"/>
      <c r="AK992" s="94"/>
      <c r="AL992" s="94"/>
      <c r="AM992" s="94"/>
      <c r="AN992" s="94"/>
      <c r="AO992" s="94"/>
      <c r="AP992" s="94"/>
      <c r="AQ992" s="94"/>
      <c r="AR992" s="94"/>
      <c r="AS992" s="94"/>
    </row>
    <row r="993" spans="1: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94"/>
      <c r="AI993" s="94"/>
      <c r="AJ993" s="94"/>
      <c r="AK993" s="94"/>
      <c r="AL993" s="94"/>
      <c r="AM993" s="94"/>
      <c r="AN993" s="94"/>
      <c r="AO993" s="94"/>
      <c r="AP993" s="94"/>
      <c r="AQ993" s="94"/>
      <c r="AR993" s="94"/>
      <c r="AS993" s="94"/>
    </row>
    <row r="994" spans="1: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94"/>
      <c r="AI994" s="94"/>
      <c r="AJ994" s="94"/>
      <c r="AK994" s="94"/>
      <c r="AL994" s="94"/>
      <c r="AM994" s="94"/>
      <c r="AN994" s="94"/>
      <c r="AO994" s="94"/>
      <c r="AP994" s="94"/>
      <c r="AQ994" s="94"/>
      <c r="AR994" s="94"/>
      <c r="AS994" s="94"/>
    </row>
    <row r="995" spans="1: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94"/>
      <c r="AI995" s="94"/>
      <c r="AJ995" s="94"/>
      <c r="AK995" s="94"/>
      <c r="AL995" s="94"/>
      <c r="AM995" s="94"/>
      <c r="AN995" s="94"/>
      <c r="AO995" s="94"/>
      <c r="AP995" s="94"/>
      <c r="AQ995" s="94"/>
      <c r="AR995" s="94"/>
      <c r="AS995" s="94"/>
    </row>
    <row r="996" spans="1: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94"/>
      <c r="AI996" s="94"/>
      <c r="AJ996" s="94"/>
      <c r="AK996" s="94"/>
      <c r="AL996" s="94"/>
      <c r="AM996" s="94"/>
      <c r="AN996" s="94"/>
      <c r="AO996" s="94"/>
      <c r="AP996" s="94"/>
      <c r="AQ996" s="94"/>
      <c r="AR996" s="94"/>
      <c r="AS996" s="94"/>
    </row>
    <row r="997" spans="1: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94"/>
      <c r="AI997" s="94"/>
      <c r="AJ997" s="94"/>
      <c r="AK997" s="94"/>
      <c r="AL997" s="94"/>
      <c r="AM997" s="94"/>
      <c r="AN997" s="94"/>
      <c r="AO997" s="94"/>
      <c r="AP997" s="94"/>
      <c r="AQ997" s="94"/>
      <c r="AR997" s="94"/>
      <c r="AS997" s="94"/>
    </row>
    <row r="998" spans="1: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94"/>
      <c r="AI998" s="94"/>
      <c r="AJ998" s="94"/>
      <c r="AK998" s="94"/>
      <c r="AL998" s="94"/>
      <c r="AM998" s="94"/>
      <c r="AN998" s="94"/>
      <c r="AO998" s="94"/>
      <c r="AP998" s="94"/>
      <c r="AQ998" s="94"/>
      <c r="AR998" s="94"/>
      <c r="AS998" s="94"/>
    </row>
    <row r="999" spans="1: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94"/>
      <c r="AI999" s="94"/>
      <c r="AJ999" s="94"/>
      <c r="AK999" s="94"/>
      <c r="AL999" s="94"/>
      <c r="AM999" s="94"/>
      <c r="AN999" s="94"/>
      <c r="AO999" s="94"/>
      <c r="AP999" s="94"/>
      <c r="AQ999" s="94"/>
      <c r="AR999" s="94"/>
      <c r="AS999" s="94"/>
    </row>
    <row r="1000" spans="1: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94"/>
      <c r="AI1000" s="94"/>
      <c r="AJ1000" s="94"/>
      <c r="AK1000" s="94"/>
      <c r="AL1000" s="94"/>
      <c r="AM1000" s="94"/>
      <c r="AN1000" s="94"/>
      <c r="AO1000" s="94"/>
      <c r="AP1000" s="94"/>
      <c r="AQ1000" s="94"/>
      <c r="AR1000" s="94"/>
      <c r="AS1000" s="94"/>
    </row>
  </sheetData>
  <mergeCells count="7">
    <mergeCell ref="V2:AD2"/>
    <mergeCell ref="K3:M3"/>
    <mergeCell ref="K18:M18"/>
    <mergeCell ref="K34:O34"/>
    <mergeCell ref="K37:O37"/>
    <mergeCell ref="V9:AD9"/>
    <mergeCell ref="V6:AD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Financial Statements</vt:lpstr>
      <vt:lpstr>Cost of Equity</vt:lpstr>
      <vt:lpstr>Cost of Debt</vt:lpstr>
      <vt:lpstr>PART A</vt:lpstr>
      <vt:lpstr>Part B</vt:lpstr>
      <vt:lpstr>Part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Anantha Krishnan</cp:lastModifiedBy>
  <dcterms:modified xsi:type="dcterms:W3CDTF">2026-02-24T16:46:38Z</dcterms:modified>
</cp:coreProperties>
</file>